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A1D1C0C-25A7-49D5-AF72-44F0B3D33EB5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ro const" sheetId="1" r:id="rId1"/>
    <sheet name="ro var" sheetId="2" r:id="rId2"/>
    <sheet name="ro const, M=1,5" sheetId="3" r:id="rId3"/>
    <sheet name="ro var M=1,5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4" i="4" l="1"/>
  <c r="Q13" i="4"/>
  <c r="P13" i="4"/>
  <c r="O13" i="4"/>
  <c r="N13" i="4"/>
  <c r="M13" i="4"/>
  <c r="L13" i="4"/>
  <c r="K13" i="4"/>
  <c r="J13" i="4"/>
  <c r="I13" i="4"/>
  <c r="H13" i="4"/>
  <c r="G13" i="4"/>
  <c r="G14" i="4" s="1"/>
  <c r="Q14" i="3" l="1"/>
  <c r="Q13" i="3"/>
  <c r="Q10" i="3" s="1"/>
  <c r="P13" i="3"/>
  <c r="O13" i="3"/>
  <c r="O17" i="3" s="1"/>
  <c r="O18" i="3" s="1"/>
  <c r="N13" i="3"/>
  <c r="N10" i="3" s="1"/>
  <c r="M13" i="3"/>
  <c r="M17" i="3" s="1"/>
  <c r="M18" i="3" s="1"/>
  <c r="L13" i="3"/>
  <c r="L10" i="3" s="1"/>
  <c r="K13" i="3"/>
  <c r="K10" i="3" s="1"/>
  <c r="J13" i="3"/>
  <c r="I13" i="3"/>
  <c r="I17" i="3" s="1"/>
  <c r="I18" i="3" s="1"/>
  <c r="H13" i="3"/>
  <c r="H17" i="3" s="1"/>
  <c r="H18" i="3" s="1"/>
  <c r="G13" i="3"/>
  <c r="G14" i="3" s="1"/>
  <c r="O17" i="4"/>
  <c r="O18" i="4" s="1"/>
  <c r="O19" i="4" s="1"/>
  <c r="N17" i="4"/>
  <c r="N18" i="4" s="1"/>
  <c r="N19" i="4" s="1"/>
  <c r="M10" i="4"/>
  <c r="L17" i="4"/>
  <c r="L18" i="4" s="1"/>
  <c r="I17" i="4"/>
  <c r="I18" i="4" s="1"/>
  <c r="I19" i="4" s="1"/>
  <c r="H17" i="4"/>
  <c r="H18" i="4" s="1"/>
  <c r="H19" i="4" s="1"/>
  <c r="Q4" i="4"/>
  <c r="P4" i="4"/>
  <c r="O4" i="4"/>
  <c r="N4" i="4"/>
  <c r="M4" i="4"/>
  <c r="L4" i="4"/>
  <c r="K4" i="4"/>
  <c r="J4" i="4"/>
  <c r="I4" i="4"/>
  <c r="H4" i="4"/>
  <c r="G4" i="4"/>
  <c r="Q4" i="3"/>
  <c r="P4" i="3"/>
  <c r="O4" i="3"/>
  <c r="N4" i="3"/>
  <c r="M4" i="3"/>
  <c r="L4" i="3"/>
  <c r="K4" i="3"/>
  <c r="J4" i="3"/>
  <c r="I4" i="3"/>
  <c r="H4" i="3"/>
  <c r="G4" i="3"/>
  <c r="Q14" i="2"/>
  <c r="Q13" i="2"/>
  <c r="P13" i="2"/>
  <c r="O13" i="2"/>
  <c r="N13" i="2"/>
  <c r="M13" i="2"/>
  <c r="L13" i="2"/>
  <c r="K13" i="2"/>
  <c r="J13" i="2"/>
  <c r="I13" i="2"/>
  <c r="H13" i="2"/>
  <c r="G13" i="2"/>
  <c r="G14" i="2" s="1"/>
  <c r="I10" i="4" l="1"/>
  <c r="O10" i="4"/>
  <c r="J10" i="4"/>
  <c r="P10" i="4"/>
  <c r="K10" i="4"/>
  <c r="Q10" i="4"/>
  <c r="N10" i="4"/>
  <c r="L19" i="4"/>
  <c r="M17" i="4"/>
  <c r="M18" i="4" s="1"/>
  <c r="M19" i="4" s="1"/>
  <c r="L10" i="4"/>
  <c r="L11" i="4" s="1"/>
  <c r="L14" i="4" s="1"/>
  <c r="M10" i="3"/>
  <c r="M11" i="3" s="1"/>
  <c r="M14" i="3" s="1"/>
  <c r="M15" i="3" s="1"/>
  <c r="L17" i="3"/>
  <c r="L18" i="3" s="1"/>
  <c r="L19" i="3" s="1"/>
  <c r="H19" i="3"/>
  <c r="O10" i="3"/>
  <c r="N11" i="3" s="1"/>
  <c r="N14" i="3" s="1"/>
  <c r="N17" i="3"/>
  <c r="N18" i="3" s="1"/>
  <c r="N19" i="3" s="1"/>
  <c r="P10" i="3"/>
  <c r="P11" i="3" s="1"/>
  <c r="P14" i="3" s="1"/>
  <c r="H10" i="3"/>
  <c r="M19" i="3"/>
  <c r="I10" i="3"/>
  <c r="J10" i="3"/>
  <c r="J11" i="3" s="1"/>
  <c r="J14" i="3" s="1"/>
  <c r="G17" i="4"/>
  <c r="G18" i="4" s="1"/>
  <c r="G19" i="4" s="1"/>
  <c r="G10" i="4"/>
  <c r="J17" i="4"/>
  <c r="J18" i="4" s="1"/>
  <c r="J19" i="4" s="1"/>
  <c r="P17" i="4"/>
  <c r="P18" i="4" s="1"/>
  <c r="P19" i="4" s="1"/>
  <c r="K17" i="4"/>
  <c r="K18" i="4" s="1"/>
  <c r="K19" i="4" s="1"/>
  <c r="Q17" i="4"/>
  <c r="Q18" i="4" s="1"/>
  <c r="Q19" i="4" s="1"/>
  <c r="H10" i="4"/>
  <c r="G17" i="3"/>
  <c r="G10" i="3"/>
  <c r="O19" i="3"/>
  <c r="K11" i="3"/>
  <c r="K14" i="3" s="1"/>
  <c r="J17" i="3"/>
  <c r="J18" i="3" s="1"/>
  <c r="J19" i="3" s="1"/>
  <c r="P17" i="3"/>
  <c r="P18" i="3" s="1"/>
  <c r="P19" i="3" s="1"/>
  <c r="I19" i="3"/>
  <c r="K17" i="3"/>
  <c r="K18" i="3" s="1"/>
  <c r="K19" i="3" s="1"/>
  <c r="Q17" i="3"/>
  <c r="Q15" i="3" s="1"/>
  <c r="P17" i="2"/>
  <c r="P18" i="2" s="1"/>
  <c r="O17" i="2"/>
  <c r="O18" i="2" s="1"/>
  <c r="N17" i="2"/>
  <c r="N18" i="2" s="1"/>
  <c r="J17" i="2"/>
  <c r="J18" i="2" s="1"/>
  <c r="I17" i="2"/>
  <c r="I18" i="2" s="1"/>
  <c r="H17" i="2"/>
  <c r="H18" i="2" s="1"/>
  <c r="Q4" i="2"/>
  <c r="P4" i="2"/>
  <c r="O4" i="2"/>
  <c r="N4" i="2"/>
  <c r="M4" i="2"/>
  <c r="L4" i="2"/>
  <c r="K4" i="2"/>
  <c r="J4" i="2"/>
  <c r="I4" i="2"/>
  <c r="H4" i="2"/>
  <c r="G4" i="2"/>
  <c r="N11" i="4" l="1"/>
  <c r="N14" i="4" s="1"/>
  <c r="O11" i="4"/>
  <c r="O14" i="4" s="1"/>
  <c r="H11" i="4"/>
  <c r="H14" i="4" s="1"/>
  <c r="I11" i="4"/>
  <c r="I14" i="4" s="1"/>
  <c r="P11" i="4"/>
  <c r="P14" i="4" s="1"/>
  <c r="J11" i="4"/>
  <c r="J14" i="4" s="1"/>
  <c r="M11" i="4"/>
  <c r="M14" i="4" s="1"/>
  <c r="K11" i="4"/>
  <c r="K14" i="4" s="1"/>
  <c r="K15" i="3"/>
  <c r="P15" i="3"/>
  <c r="N15" i="3"/>
  <c r="J15" i="3"/>
  <c r="G18" i="3"/>
  <c r="G19" i="3" s="1"/>
  <c r="G15" i="3"/>
  <c r="L11" i="3"/>
  <c r="L14" i="3" s="1"/>
  <c r="L15" i="3" s="1"/>
  <c r="H11" i="3"/>
  <c r="H14" i="3" s="1"/>
  <c r="H15" i="3" s="1"/>
  <c r="I11" i="3"/>
  <c r="I14" i="3" s="1"/>
  <c r="I15" i="3" s="1"/>
  <c r="O11" i="3"/>
  <c r="O14" i="3" s="1"/>
  <c r="O15" i="3" s="1"/>
  <c r="Q18" i="3"/>
  <c r="Q19" i="3" s="1"/>
  <c r="O10" i="2"/>
  <c r="M10" i="2"/>
  <c r="H10" i="2"/>
  <c r="I10" i="2"/>
  <c r="J10" i="2"/>
  <c r="K10" i="2"/>
  <c r="Q10" i="2"/>
  <c r="L10" i="2"/>
  <c r="P10" i="2"/>
  <c r="I19" i="2"/>
  <c r="K17" i="2"/>
  <c r="K18" i="2" s="1"/>
  <c r="K19" i="2" s="1"/>
  <c r="J19" i="2"/>
  <c r="N10" i="2"/>
  <c r="P19" i="2"/>
  <c r="Q17" i="2"/>
  <c r="G17" i="2"/>
  <c r="G10" i="2"/>
  <c r="O19" i="2"/>
  <c r="L17" i="2"/>
  <c r="L18" i="2" s="1"/>
  <c r="L19" i="2" s="1"/>
  <c r="H19" i="2"/>
  <c r="N19" i="2"/>
  <c r="M17" i="2"/>
  <c r="M18" i="2" s="1"/>
  <c r="M19" i="2" s="1"/>
  <c r="G18" i="2" l="1"/>
  <c r="G19" i="2" s="1"/>
  <c r="G15" i="2"/>
  <c r="Q18" i="2"/>
  <c r="Q19" i="2" s="1"/>
  <c r="Q15" i="2"/>
  <c r="O11" i="2"/>
  <c r="O14" i="2" s="1"/>
  <c r="O15" i="2" s="1"/>
  <c r="H11" i="2"/>
  <c r="H14" i="2" s="1"/>
  <c r="H15" i="2" s="1"/>
  <c r="L11" i="2"/>
  <c r="L14" i="2" s="1"/>
  <c r="L15" i="2" s="1"/>
  <c r="K11" i="2"/>
  <c r="K14" i="2" s="1"/>
  <c r="K15" i="2" s="1"/>
  <c r="J11" i="2"/>
  <c r="J14" i="2" s="1"/>
  <c r="J15" i="2" s="1"/>
  <c r="M11" i="2"/>
  <c r="M14" i="2" s="1"/>
  <c r="M15" i="2" s="1"/>
  <c r="N11" i="2"/>
  <c r="N14" i="2" s="1"/>
  <c r="N15" i="2" s="1"/>
  <c r="I11" i="2"/>
  <c r="I14" i="2" s="1"/>
  <c r="I15" i="2" s="1"/>
  <c r="P11" i="2"/>
  <c r="P14" i="2" s="1"/>
  <c r="P15" i="2" s="1"/>
  <c r="Q14" i="1" l="1"/>
  <c r="Q13" i="1"/>
  <c r="P13" i="1"/>
  <c r="O13" i="1"/>
  <c r="N13" i="1"/>
  <c r="M13" i="1"/>
  <c r="L13" i="1"/>
  <c r="K13" i="1"/>
  <c r="J13" i="1"/>
  <c r="I13" i="1"/>
  <c r="H13" i="1"/>
  <c r="G13" i="1"/>
  <c r="G14" i="1" s="1"/>
  <c r="I3" i="1" l="1"/>
  <c r="I4" i="1" s="1"/>
  <c r="J3" i="1"/>
  <c r="K3" i="1"/>
  <c r="L3" i="1"/>
  <c r="L4" i="1" s="1"/>
  <c r="M3" i="1"/>
  <c r="N3" i="1" s="1"/>
  <c r="H3" i="1"/>
  <c r="Q17" i="1"/>
  <c r="Q18" i="1" s="1"/>
  <c r="Q19" i="1" s="1"/>
  <c r="N17" i="1"/>
  <c r="N18" i="1" s="1"/>
  <c r="N19" i="1" s="1"/>
  <c r="M17" i="1"/>
  <c r="M18" i="1" s="1"/>
  <c r="M19" i="1" s="1"/>
  <c r="L17" i="1"/>
  <c r="L18" i="1" s="1"/>
  <c r="K17" i="1"/>
  <c r="K18" i="1" s="1"/>
  <c r="K19" i="1" s="1"/>
  <c r="H17" i="1"/>
  <c r="H18" i="1" s="1"/>
  <c r="H19" i="1" s="1"/>
  <c r="Q4" i="1"/>
  <c r="K4" i="1"/>
  <c r="J4" i="1"/>
  <c r="H4" i="1"/>
  <c r="G4" i="1"/>
  <c r="J10" i="1" l="1"/>
  <c r="K10" i="1"/>
  <c r="Q10" i="1"/>
  <c r="L10" i="1"/>
  <c r="L19" i="1"/>
  <c r="H10" i="1"/>
  <c r="O3" i="1"/>
  <c r="N4" i="1"/>
  <c r="N10" i="1" s="1"/>
  <c r="M4" i="1"/>
  <c r="M10" i="1" s="1"/>
  <c r="I10" i="1"/>
  <c r="I17" i="1"/>
  <c r="I18" i="1" s="1"/>
  <c r="I19" i="1" s="1"/>
  <c r="O17" i="1"/>
  <c r="O18" i="1" s="1"/>
  <c r="O19" i="1" s="1"/>
  <c r="J17" i="1"/>
  <c r="J18" i="1" s="1"/>
  <c r="J19" i="1" s="1"/>
  <c r="P17" i="1"/>
  <c r="P18" i="1" s="1"/>
  <c r="P19" i="1" s="1"/>
  <c r="K11" i="1" l="1"/>
  <c r="K14" i="1" s="1"/>
  <c r="J11" i="1"/>
  <c r="J14" i="1" s="1"/>
  <c r="H11" i="1"/>
  <c r="H14" i="1" s="1"/>
  <c r="M11" i="1"/>
  <c r="M14" i="1" s="1"/>
  <c r="L11" i="1"/>
  <c r="L14" i="1" s="1"/>
  <c r="O4" i="1"/>
  <c r="O10" i="1" s="1"/>
  <c r="P3" i="1"/>
  <c r="P4" i="1" s="1"/>
  <c r="P10" i="1" s="1"/>
  <c r="P11" i="1" s="1"/>
  <c r="P14" i="1" s="1"/>
  <c r="G17" i="1"/>
  <c r="G18" i="1" s="1"/>
  <c r="G19" i="1" s="1"/>
  <c r="G10" i="1"/>
  <c r="I11" i="1"/>
  <c r="I14" i="1" s="1"/>
  <c r="O11" i="1" l="1"/>
  <c r="O14" i="1" s="1"/>
  <c r="N11" i="1"/>
  <c r="N14" i="1" s="1"/>
</calcChain>
</file>

<file path=xl/sharedStrings.xml><?xml version="1.0" encoding="utf-8"?>
<sst xmlns="http://schemas.openxmlformats.org/spreadsheetml/2006/main" count="113" uniqueCount="21">
  <si>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</si>
  <si>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</si>
  <si>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</si>
  <si>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</si>
  <si>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</si>
  <si>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</si>
  <si>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</si>
  <si>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</si>
  <si>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</si>
  <si>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</si>
  <si>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</si>
  <si>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</si>
  <si>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</si>
  <si>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</si>
  <si>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</si>
  <si>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</si>
  <si>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</si>
  <si>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</si>
  <si>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</si>
  <si>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>Шаг</t>
  </si>
  <si>
    <t>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</si>
</sst>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"/>
    <numFmt numFmtId="167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164" fontId="0" fillId="0" borderId="1" xfId="0" applyNumberFormat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65" fontId="0" fillId="0" borderId="1" xfId="0" applyNumberFormat="1" applyBorder="1"/>
    <xf numFmtId="0" fontId="0" fillId="0" borderId="1" xfId="0" applyNumberFormat="1" applyBorder="1"/>
    <xf numFmtId="0" fontId="0" fillId="4" borderId="1" xfId="0" applyFill="1" applyBorder="1"/>
    <xf numFmtId="166" fontId="0" fillId="0" borderId="1" xfId="0" applyNumberFormat="1" applyBorder="1"/>
    <xf numFmtId="1" fontId="0" fillId="0" borderId="1" xfId="0" applyNumberFormat="1" applyBorder="1"/>
    <xf numFmtId="167" fontId="0" fillId="4" borderId="1" xfId="0" applyNumberFormat="1" applyFill="1" applyBorder="1"/>
    <xf numFmtId="165" fontId="0" fillId="0" borderId="0" xfId="0" applyNumberFormat="1" applyBorder="1"/>
    <xf numFmtId="166" fontId="0" fillId="0" borderId="0" xfId="0" applyNumberFormat="1"/>
    <xf numFmtId="0" fontId="0" fillId="0" borderId="1" xfId="0" applyBorder="1"/>
    <xf numFmtId="2" fontId="0" fillId="0" borderId="2" xfId="0" applyNumberFormat="1" applyBorder="1" applyAlignment="1"/>
    <xf numFmtId="2" fontId="0" fillId="0" borderId="3" xfId="0" applyNumberFormat="1" applyBorder="1" applyAlignment="1"/>
    <xf numFmtId="2" fontId="0" fillId="0" borderId="0" xfId="0" applyNumberFormat="1" applyAlignment="1"/>
    <xf numFmtId="2" fontId="0" fillId="0" borderId="0" xfId="0" applyNumberFormat="1" applyBorder="1"/>
    <xf numFmtId="2" fontId="0" fillId="0" borderId="0" xfId="0" applyNumberFormat="1" applyBorder="1" applyAlignment="1"/>
    <xf numFmtId="166" fontId="0" fillId="0" borderId="0" xfId="0" applyNumberFormat="1" applyBorder="1"/>
    <xf numFmtId="0" fontId="0" fillId="0" borderId="0" xfId="0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сопла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const'!$G$2:$Q$2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const'!$G$3:$Q$3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A-4A78-A274-78E848E2C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688847"/>
        <c:axId val="492772543"/>
      </c:lineChart>
      <c:catAx>
        <c:axId val="2386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x,m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772543"/>
        <c:crosses val="autoZero"/>
        <c:auto val="1"/>
        <c:lblAlgn val="ctr"/>
        <c:lblOffset val="100"/>
        <c:noMultiLvlLbl val="0"/>
      </c:catAx>
      <c:valAx>
        <c:axId val="49277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8604651162790697E-2"/>
              <c:y val="3.494940562235335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68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const'!$G$2:$Q$2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const'!$G$10:$Q$10</c:f>
              <c:numCache>
                <c:formatCode>0.00000</c:formatCode>
                <c:ptCount val="11"/>
                <c:pt idx="0">
                  <c:v>1.3682762626057496</c:v>
                </c:pt>
                <c:pt idx="1">
                  <c:v>1.3682762617684603</c:v>
                </c:pt>
                <c:pt idx="2">
                  <c:v>1.3682762157621826</c:v>
                </c:pt>
                <c:pt idx="3">
                  <c:v>1.3682761831018535</c:v>
                </c:pt>
                <c:pt idx="4">
                  <c:v>1.3682761630482727</c:v>
                </c:pt>
                <c:pt idx="5">
                  <c:v>1.3682761541113297</c:v>
                </c:pt>
                <c:pt idx="6">
                  <c:v>1.3682761539801853</c:v>
                </c:pt>
                <c:pt idx="7">
                  <c:v>1.3682761595868003</c:v>
                </c:pt>
                <c:pt idx="8">
                  <c:v>1.3682761674034831</c:v>
                </c:pt>
                <c:pt idx="9">
                  <c:v>1.3682761740767435</c:v>
                </c:pt>
                <c:pt idx="10">
                  <c:v>1.3682761774105556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9D-47DA-AE6D-9D385FDA9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330719"/>
        <c:axId val="638411359"/>
      </c:lineChart>
      <c:catAx>
        <c:axId val="931330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457419072615924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8411359"/>
        <c:crosses val="autoZero"/>
        <c:auto val="1"/>
        <c:lblAlgn val="ctr"/>
        <c:lblOffset val="100"/>
        <c:noMultiLvlLbl val="0"/>
      </c:catAx>
      <c:valAx>
        <c:axId val="63841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G,kg/s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133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3727034120735"/>
          <c:y val="6.0185185185185182E-2"/>
          <c:w val="0.79329396325459323"/>
          <c:h val="0.7435032079323418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const'!$G$2:$S$2</c:f>
              <c:numCache>
                <c:formatCode>0.000</c:formatCode>
                <c:ptCount val="1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</c:numCache>
            </c:numRef>
          </c:cat>
          <c:val>
            <c:numRef>
              <c:f>'ro const'!$G$6:$Q$6</c:f>
              <c:numCache>
                <c:formatCode>0</c:formatCode>
                <c:ptCount val="11"/>
                <c:pt idx="0">
                  <c:v>133045.93256759006</c:v>
                </c:pt>
                <c:pt idx="1">
                  <c:v>132578.11155099684</c:v>
                </c:pt>
                <c:pt idx="2">
                  <c:v>131967.60002903815</c:v>
                </c:pt>
                <c:pt idx="3">
                  <c:v>131158.84548351332</c:v>
                </c:pt>
                <c:pt idx="4">
                  <c:v>130069.34964168441</c:v>
                </c:pt>
                <c:pt idx="5">
                  <c:v>128573.64401750073</c:v>
                </c:pt>
                <c:pt idx="6">
                  <c:v>126475.70532819227</c:v>
                </c:pt>
                <c:pt idx="7">
                  <c:v>123459.7579916282</c:v>
                </c:pt>
                <c:pt idx="8">
                  <c:v>118998.90616087447</c:v>
                </c:pt>
                <c:pt idx="9">
                  <c:v>112177.34020360543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C-4D41-9C75-7068D8089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8406255"/>
        <c:axId val="492775039"/>
      </c:lineChart>
      <c:catAx>
        <c:axId val="648406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775039"/>
        <c:crosses val="autoZero"/>
        <c:auto val="1"/>
        <c:lblAlgn val="ctr"/>
        <c:lblOffset val="100"/>
        <c:noMultiLvlLbl val="0"/>
      </c:catAx>
      <c:valAx>
        <c:axId val="492775039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P,Pa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840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const'!$G$2:$S$2</c:f>
              <c:numCache>
                <c:formatCode>0.000</c:formatCode>
                <c:ptCount val="1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</c:numCache>
            </c:numRef>
          </c:cat>
          <c:val>
            <c:numRef>
              <c:f>'ro const'!$G$5:$Q$5</c:f>
              <c:numCache>
                <c:formatCode>0.000</c:formatCode>
                <c:ptCount val="11"/>
                <c:pt idx="0">
                  <c:v>57.42825180460602</c:v>
                </c:pt>
                <c:pt idx="1">
                  <c:v>63.632411932690879</c:v>
                </c:pt>
                <c:pt idx="2">
                  <c:v>70.899073860139026</c:v>
                </c:pt>
                <c:pt idx="3">
                  <c:v>79.485464977897308</c:v>
                </c:pt>
                <c:pt idx="4">
                  <c:v>89.731636871569435</c:v>
                </c:pt>
                <c:pt idx="5">
                  <c:v>102.09466172084878</c:v>
                </c:pt>
                <c:pt idx="6">
                  <c:v>117.2005045099404</c:v>
                </c:pt>
                <c:pt idx="7">
                  <c:v>135.92484602206315</c:v>
                </c:pt>
                <c:pt idx="8">
                  <c:v>159.52291047967034</c:v>
                </c:pt>
                <c:pt idx="9">
                  <c:v>189.84544811072732</c:v>
                </c:pt>
                <c:pt idx="10">
                  <c:v>229.71299277578331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D-4BC5-AB86-DCCC2CEF2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335119"/>
        <c:axId val="492787103"/>
      </c:lineChart>
      <c:catAx>
        <c:axId val="9313351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541793525809274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787103"/>
        <c:crosses val="autoZero"/>
        <c:auto val="1"/>
        <c:lblAlgn val="ctr"/>
        <c:lblOffset val="100"/>
        <c:noMultiLvlLbl val="0"/>
      </c:catAx>
      <c:valAx>
        <c:axId val="49278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U,m/s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133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22815048118985129"/>
          <c:y val="0.17171296296296296"/>
          <c:w val="0.74129396325459318"/>
          <c:h val="0.62366542723826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8-4EDE-9F39-CD65AA7C6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8561839"/>
        <c:axId val="604125167"/>
      </c:lineChart>
      <c:catAx>
        <c:axId val="1238561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1584601924759406"/>
              <c:y val="0.888888888888888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125167"/>
        <c:crosses val="autoZero"/>
        <c:auto val="1"/>
        <c:lblAlgn val="ctr"/>
        <c:lblOffset val="100"/>
        <c:noMultiLvlLbl val="0"/>
      </c:catAx>
      <c:valAx>
        <c:axId val="6041251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56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9292825896762908"/>
          <c:y val="0.17171296296296296"/>
          <c:w val="0.77651618547681545"/>
          <c:h val="0.6329246864975210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var'!$G$10:$Q$10</c:f>
              <c:numCache>
                <c:formatCode>0.00000</c:formatCode>
                <c:ptCount val="11"/>
                <c:pt idx="0">
                  <c:v>1.3681955455551302</c:v>
                </c:pt>
                <c:pt idx="1">
                  <c:v>1.3681955370253505</c:v>
                </c:pt>
                <c:pt idx="2">
                  <c:v>1.3681950748270444</c:v>
                </c:pt>
                <c:pt idx="3">
                  <c:v>1.3681948745985053</c:v>
                </c:pt>
                <c:pt idx="4">
                  <c:v>1.3681949079583742</c:v>
                </c:pt>
                <c:pt idx="5">
                  <c:v>1.3681951330269688</c:v>
                </c:pt>
                <c:pt idx="6">
                  <c:v>1.3681954931923397</c:v>
                </c:pt>
                <c:pt idx="7">
                  <c:v>1.3681959178297924</c:v>
                </c:pt>
                <c:pt idx="8">
                  <c:v>1.3681963267281165</c:v>
                </c:pt>
                <c:pt idx="9">
                  <c:v>1.3681966407073627</c:v>
                </c:pt>
                <c:pt idx="10">
                  <c:v>1.3681968013461125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9B-49F9-A045-B1B1C1AFD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8570239"/>
        <c:axId val="604103535"/>
      </c:lineChart>
      <c:catAx>
        <c:axId val="1238570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103535"/>
        <c:crosses val="autoZero"/>
        <c:auto val="1"/>
        <c:lblAlgn val="ctr"/>
        <c:lblOffset val="100"/>
        <c:noMultiLvlLbl val="0"/>
      </c:catAx>
      <c:valAx>
        <c:axId val="60410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G, kg/s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57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26426159230096236"/>
          <c:y val="0.17171296296296296"/>
          <c:w val="0.70518285214348209"/>
          <c:h val="0.5357024642752988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var'!$G$6:$Q$6</c:f>
              <c:numCache>
                <c:formatCode>0.000</c:formatCode>
                <c:ptCount val="11"/>
                <c:pt idx="0">
                  <c:v>133570.96687251126</c:v>
                </c:pt>
                <c:pt idx="1">
                  <c:v>133222.15589841644</c:v>
                </c:pt>
                <c:pt idx="2">
                  <c:v>132763.85535691844</c:v>
                </c:pt>
                <c:pt idx="3">
                  <c:v>132151.19473360103</c:v>
                </c:pt>
                <c:pt idx="4">
                  <c:v>131315.53608934904</c:v>
                </c:pt>
                <c:pt idx="5">
                  <c:v>130148.08961662126</c:v>
                </c:pt>
                <c:pt idx="6">
                  <c:v>128468.47979342083</c:v>
                </c:pt>
                <c:pt idx="7">
                  <c:v>125958.96206231382</c:v>
                </c:pt>
                <c:pt idx="8">
                  <c:v>122007.76062664401</c:v>
                </c:pt>
                <c:pt idx="9">
                  <c:v>115244.93718315283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9-416B-AAD4-A15CB419A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8519839"/>
        <c:axId val="604153039"/>
      </c:lineChart>
      <c:catAx>
        <c:axId val="1238519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153039"/>
        <c:crosses val="autoZero"/>
        <c:auto val="1"/>
        <c:lblAlgn val="ctr"/>
        <c:lblOffset val="100"/>
        <c:noMultiLvlLbl val="0"/>
      </c:catAx>
      <c:valAx>
        <c:axId val="604153039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P,Pa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519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626159230096236"/>
          <c:y val="0.17171296296296296"/>
          <c:w val="0.79318285214348194"/>
          <c:h val="0.6097765383493729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var'!$G$5:$Q$5</c:f>
              <c:numCache>
                <c:formatCode>0.000</c:formatCode>
                <c:ptCount val="11"/>
                <c:pt idx="0">
                  <c:v>42.000451991155728</c:v>
                </c:pt>
                <c:pt idx="1">
                  <c:v>46.626595272829071</c:v>
                </c:pt>
                <c:pt idx="2">
                  <c:v>52.081877649149817</c:v>
                </c:pt>
                <c:pt idx="3">
                  <c:v>58.586763943984593</c:v>
                </c:pt>
                <c:pt idx="4">
                  <c:v>66.446188532099072</c:v>
                </c:pt>
                <c:pt idx="5">
                  <c:v>76.09649920622158</c:v>
                </c:pt>
                <c:pt idx="6">
                  <c:v>88.190950292471598</c:v>
                </c:pt>
                <c:pt idx="7">
                  <c:v>103.77206506908624</c:v>
                </c:pt>
                <c:pt idx="8">
                  <c:v>124.67528025763023</c:v>
                </c:pt>
                <c:pt idx="9">
                  <c:v>154.73844887467308</c:v>
                </c:pt>
                <c:pt idx="10">
                  <c:v>205.87819407849855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B-4A49-97D9-DBFE3C252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197247"/>
        <c:axId val="604154703"/>
      </c:lineChart>
      <c:catAx>
        <c:axId val="60519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154703"/>
        <c:crosses val="autoZero"/>
        <c:auto val="1"/>
        <c:lblAlgn val="ctr"/>
        <c:lblOffset val="100"/>
        <c:noMultiLvlLbl val="0"/>
      </c:catAx>
      <c:valAx>
        <c:axId val="604154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U,m/s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5197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0288191740807E-2"/>
          <c:y val="4.3721403152008134E-2"/>
          <c:w val="0.91562409292167912"/>
          <c:h val="0.911130343582497"/>
        </c:manualLayout>
      </c:layout>
      <c:lineChart>
        <c:grouping val="standard"/>
        <c:varyColors val="0"/>
        <c:ser>
          <c:idx val="0"/>
          <c:order val="0"/>
          <c:tx>
            <c:v>11 шаг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var'!$S$24:$AC$24</c:f>
              <c:numCache>
                <c:formatCode>0.0000</c:formatCode>
                <c:ptCount val="11"/>
                <c:pt idx="0">
                  <c:v>0.12364366646378178</c:v>
                </c:pt>
                <c:pt idx="1">
                  <c:v>0.13731201324051395</c:v>
                </c:pt>
                <c:pt idx="2">
                  <c:v>0.15349255620080748</c:v>
                </c:pt>
                <c:pt idx="3">
                  <c:v>0.17280990400705001</c:v>
                </c:pt>
                <c:pt idx="4">
                  <c:v>0.19619085101237524</c:v>
                </c:pt>
                <c:pt idx="5">
                  <c:v>0.22497253739749787</c:v>
                </c:pt>
                <c:pt idx="6">
                  <c:v>0.26118007902363699</c:v>
                </c:pt>
                <c:pt idx="7">
                  <c:v>0.30809891073411766</c:v>
                </c:pt>
                <c:pt idx="8">
                  <c:v>0.37164937795050523</c:v>
                </c:pt>
                <c:pt idx="9">
                  <c:v>0.46461770266744667</c:v>
                </c:pt>
                <c:pt idx="10">
                  <c:v>0.62854874458481791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6-4D3A-A0D2-998374A28154}"/>
            </c:ext>
          </c:extLst>
        </c:ser>
        <c:ser>
          <c:idx val="1"/>
          <c:order val="1"/>
          <c:tx>
            <c:v>15 шаг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var'!$S$25:$AC$25</c:f>
              <c:numCache>
                <c:formatCode>0.0000</c:formatCode>
                <c:ptCount val="11"/>
                <c:pt idx="0">
                  <c:v>0.1228993592870711</c:v>
                </c:pt>
                <c:pt idx="1">
                  <c:v>0.13648589758595814</c:v>
                </c:pt>
                <c:pt idx="2">
                  <c:v>0.15281321508078149</c:v>
                </c:pt>
                <c:pt idx="3">
                  <c:v>0.17225016370392007</c:v>
                </c:pt>
                <c:pt idx="4">
                  <c:v>0.19574270178482664</c:v>
                </c:pt>
                <c:pt idx="5">
                  <c:v>0.22463945514786313</c:v>
                </c:pt>
                <c:pt idx="6">
                  <c:v>0.26098008986788335</c:v>
                </c:pt>
                <c:pt idx="7">
                  <c:v>0.30807022582799926</c:v>
                </c:pt>
                <c:pt idx="8">
                  <c:v>0.37184194529711456</c:v>
                </c:pt>
                <c:pt idx="9">
                  <c:v>0.46499267506674302</c:v>
                </c:pt>
                <c:pt idx="10">
                  <c:v>0.62852605579779153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B6-4D3A-A0D2-998374A28154}"/>
            </c:ext>
          </c:extLst>
        </c:ser>
        <c:ser>
          <c:idx val="2"/>
          <c:order val="2"/>
          <c:tx>
            <c:v>25 шаг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var'!$S$26:$AC$26</c:f>
              <c:numCache>
                <c:formatCode>0.0000</c:formatCode>
                <c:ptCount val="11"/>
                <c:pt idx="0">
                  <c:v>0.12317292189712456</c:v>
                </c:pt>
                <c:pt idx="1">
                  <c:v>0.13678940576926363</c:v>
                </c:pt>
                <c:pt idx="2">
                  <c:v>0.15305622694152024</c:v>
                </c:pt>
                <c:pt idx="3">
                  <c:v>0.17245070163393303</c:v>
                </c:pt>
                <c:pt idx="4">
                  <c:v>0.19590863867447925</c:v>
                </c:pt>
                <c:pt idx="5">
                  <c:v>0.22477543241441442</c:v>
                </c:pt>
                <c:pt idx="6">
                  <c:v>0.26108674384705055</c:v>
                </c:pt>
                <c:pt idx="7">
                  <c:v>0.30813747179905571</c:v>
                </c:pt>
                <c:pt idx="8">
                  <c:v>0.37183657098331291</c:v>
                </c:pt>
                <c:pt idx="9">
                  <c:v>0.46487963591740417</c:v>
                </c:pt>
                <c:pt idx="10">
                  <c:v>0.62853909826337495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B6-4D3A-A0D2-998374A28154}"/>
            </c:ext>
          </c:extLst>
        </c:ser>
        <c:ser>
          <c:idx val="3"/>
          <c:order val="3"/>
          <c:tx>
            <c:v>35 шаг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var'!$S$27:$AC$27</c:f>
              <c:numCache>
                <c:formatCode>0.00000</c:formatCode>
                <c:ptCount val="11"/>
                <c:pt idx="0">
                  <c:v>0.12331353427686946</c:v>
                </c:pt>
                <c:pt idx="1">
                  <c:v>0.13694548117319427</c:v>
                </c:pt>
                <c:pt idx="2">
                  <c:v>0.1531850948209158</c:v>
                </c:pt>
                <c:pt idx="3">
                  <c:v>0.17255831169291427</c:v>
                </c:pt>
                <c:pt idx="4">
                  <c:v>0.19599775148270832</c:v>
                </c:pt>
                <c:pt idx="5">
                  <c:v>0.22484679141929298</c:v>
                </c:pt>
                <c:pt idx="6">
                  <c:v>0.26113760884778553</c:v>
                </c:pt>
                <c:pt idx="7">
                  <c:v>0.30815859467917023</c:v>
                </c:pt>
                <c:pt idx="8">
                  <c:v>0.37181235405470142</c:v>
                </c:pt>
                <c:pt idx="9">
                  <c:v>0.46481244556742846</c:v>
                </c:pt>
                <c:pt idx="10">
                  <c:v>0.62854451784960175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6-4D3A-A0D2-998374A28154}"/>
            </c:ext>
          </c:extLst>
        </c:ser>
        <c:ser>
          <c:idx val="4"/>
          <c:order val="4"/>
          <c:tx>
            <c:v>55 шаг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var'!$S$28:$AC$28</c:f>
              <c:numCache>
                <c:formatCode>0.00000</c:formatCode>
                <c:ptCount val="11"/>
                <c:pt idx="0">
                  <c:v>0.12338533650877212</c:v>
                </c:pt>
                <c:pt idx="1">
                  <c:v>0.13702519631059187</c:v>
                </c:pt>
                <c:pt idx="2">
                  <c:v>0.15325183497574918</c:v>
                </c:pt>
                <c:pt idx="3">
                  <c:v>0.17261423598688572</c:v>
                </c:pt>
                <c:pt idx="4">
                  <c:v>0.19604368319064908</c:v>
                </c:pt>
                <c:pt idx="5">
                  <c:v>0.22488229297638457</c:v>
                </c:pt>
                <c:pt idx="6">
                  <c:v>0.2611601583342093</c:v>
                </c:pt>
                <c:pt idx="7">
                  <c:v>0.30816276577305307</c:v>
                </c:pt>
                <c:pt idx="8">
                  <c:v>0.37179214825364404</c:v>
                </c:pt>
                <c:pt idx="9">
                  <c:v>0.46477526277449138</c:v>
                </c:pt>
                <c:pt idx="10">
                  <c:v>0.62854675103859248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B6-4D3A-A0D2-998374A28154}"/>
            </c:ext>
          </c:extLst>
        </c:ser>
        <c:ser>
          <c:idx val="5"/>
          <c:order val="5"/>
          <c:tx>
            <c:v>65 шаг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var'!$S$29:$AC$29</c:f>
              <c:numCache>
                <c:formatCode>0.00000</c:formatCode>
                <c:ptCount val="11"/>
                <c:pt idx="0">
                  <c:v>0.12343693132055605</c:v>
                </c:pt>
                <c:pt idx="1">
                  <c:v>0.13708248291131103</c:v>
                </c:pt>
                <c:pt idx="2">
                  <c:v>0.15330010864534113</c:v>
                </c:pt>
                <c:pt idx="3">
                  <c:v>0.17265464383091164</c:v>
                </c:pt>
                <c:pt idx="4">
                  <c:v>0.19607646576375051</c:v>
                </c:pt>
                <c:pt idx="5">
                  <c:v>0.22490667717276436</c:v>
                </c:pt>
                <c:pt idx="6">
                  <c:v>0.26117384345994232</c:v>
                </c:pt>
                <c:pt idx="7">
                  <c:v>0.30816181332891041</c:v>
                </c:pt>
                <c:pt idx="8">
                  <c:v>0.37177359818792283</c:v>
                </c:pt>
                <c:pt idx="9">
                  <c:v>0.46474716857460086</c:v>
                </c:pt>
                <c:pt idx="10">
                  <c:v>0.62854805309021999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B6-4D3A-A0D2-998374A28154}"/>
            </c:ext>
          </c:extLst>
        </c:ser>
        <c:ser>
          <c:idx val="6"/>
          <c:order val="6"/>
          <c:tx>
            <c:v>105 шаг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'ro var'!$S$23:$AC$23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var'!$S$30:$AC$30</c:f>
              <c:numCache>
                <c:formatCode>0.00000</c:formatCode>
                <c:ptCount val="11"/>
                <c:pt idx="0">
                  <c:v>0.12346664023009729</c:v>
                </c:pt>
                <c:pt idx="1">
                  <c:v>0.13711547086333609</c:v>
                </c:pt>
                <c:pt idx="2">
                  <c:v>0.15332799073706499</c:v>
                </c:pt>
                <c:pt idx="3">
                  <c:v>0.17267790991010989</c:v>
                </c:pt>
                <c:pt idx="4">
                  <c:v>0.19609508938756198</c:v>
                </c:pt>
                <c:pt idx="5">
                  <c:v>0.22492001367272005</c:v>
                </c:pt>
                <c:pt idx="6">
                  <c:v>0.26118039763184719</c:v>
                </c:pt>
                <c:pt idx="7">
                  <c:v>0.30815939596238173</c:v>
                </c:pt>
                <c:pt idx="8">
                  <c:v>0.37176116182948887</c:v>
                </c:pt>
                <c:pt idx="9">
                  <c:v>0.46473041071349941</c:v>
                </c:pt>
                <c:pt idx="10">
                  <c:v>0.62854866186094949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B6-4D3A-A0D2-998374A28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482447"/>
        <c:axId val="1266290975"/>
      </c:lineChart>
      <c:catAx>
        <c:axId val="12564824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Х,м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6290975"/>
        <c:crosses val="autoZero"/>
        <c:auto val="1"/>
        <c:lblAlgn val="ctr"/>
        <c:lblOffset val="100"/>
        <c:noMultiLvlLbl val="0"/>
      </c:catAx>
      <c:valAx>
        <c:axId val="1266290975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6482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const,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const, M=1,5'!$G$10:$Q$10</c:f>
              <c:numCache>
                <c:formatCode>0.00000</c:formatCode>
                <c:ptCount val="11"/>
                <c:pt idx="0">
                  <c:v>3.7704834833492176</c:v>
                </c:pt>
                <c:pt idx="1">
                  <c:v>3.7704827861928565</c:v>
                </c:pt>
                <c:pt idx="2">
                  <c:v>3.7704443029799877</c:v>
                </c:pt>
                <c:pt idx="3">
                  <c:v>3.7704026917328619</c:v>
                </c:pt>
                <c:pt idx="4">
                  <c:v>3.7703597879081765</c:v>
                </c:pt>
                <c:pt idx="5">
                  <c:v>3.7703178132923676</c:v>
                </c:pt>
                <c:pt idx="6">
                  <c:v>3.7702793176820317</c:v>
                </c:pt>
                <c:pt idx="7">
                  <c:v>3.770247010931147</c:v>
                </c:pt>
                <c:pt idx="8">
                  <c:v>3.7702234166241535</c:v>
                </c:pt>
                <c:pt idx="9">
                  <c:v>3.7702102580249193</c:v>
                </c:pt>
                <c:pt idx="10">
                  <c:v>3.770207478585947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8-459D-A714-26A8FF98E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74879"/>
        <c:axId val="604056527"/>
      </c:lineChart>
      <c:catAx>
        <c:axId val="609674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056527"/>
        <c:crosses val="autoZero"/>
        <c:auto val="1"/>
        <c:lblAlgn val="ctr"/>
        <c:lblOffset val="100"/>
        <c:noMultiLvlLbl val="0"/>
      </c:catAx>
      <c:valAx>
        <c:axId val="60405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G, kg/s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9674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Георметрия</a:t>
            </a:r>
            <a:r>
              <a:rPr lang="ru-RU" baseline="0"/>
              <a:t> канала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'ro const, M=1,5'!$G$3:$Q$3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C-4C9A-9FE2-EC700662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538415"/>
        <c:axId val="604063183"/>
      </c:lineChart>
      <c:catAx>
        <c:axId val="59753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063183"/>
        <c:crosses val="autoZero"/>
        <c:auto val="1"/>
        <c:lblAlgn val="ctr"/>
        <c:lblOffset val="100"/>
        <c:noMultiLvlLbl val="0"/>
      </c:catAx>
      <c:valAx>
        <c:axId val="60406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7538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6699530205783"/>
          <c:y val="0.15678135623796371"/>
          <c:w val="0.7188327929597037"/>
          <c:h val="0.55398434044059097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 const,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'ro const, M=1,5'!$G$6:$Q$6</c:f>
              <c:numCache>
                <c:formatCode>0.000</c:formatCode>
                <c:ptCount val="11"/>
                <c:pt idx="0">
                  <c:v>348845.97620227106</c:v>
                </c:pt>
                <c:pt idx="1">
                  <c:v>347829.78038067668</c:v>
                </c:pt>
                <c:pt idx="2">
                  <c:v>346493.67364619405</c:v>
                </c:pt>
                <c:pt idx="3">
                  <c:v>344705.6426832932</c:v>
                </c:pt>
                <c:pt idx="4">
                  <c:v>342263.10821493453</c:v>
                </c:pt>
                <c:pt idx="5">
                  <c:v>338843.24034271052</c:v>
                </c:pt>
                <c:pt idx="6">
                  <c:v>333906.36626178602</c:v>
                </c:pt>
                <c:pt idx="7">
                  <c:v>326489.08149382402</c:v>
                </c:pt>
                <c:pt idx="8">
                  <c:v>314691.66957783751</c:v>
                </c:pt>
                <c:pt idx="9">
                  <c:v>294035.82224960573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36-48A1-AA42-8268AEE8CB36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 const, M=1,5'!$S$24:$X$24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'ro const, M=1,5'!$S$25:$X$25</c:f>
              <c:numCache>
                <c:formatCode>General</c:formatCode>
                <c:ptCount val="6"/>
                <c:pt idx="0">
                  <c:v>345199</c:v>
                </c:pt>
                <c:pt idx="1">
                  <c:v>340985.59999999998</c:v>
                </c:pt>
                <c:pt idx="2">
                  <c:v>330458.09999999998</c:v>
                </c:pt>
                <c:pt idx="3">
                  <c:v>303106.3</c:v>
                </c:pt>
                <c:pt idx="4" formatCode="0.00">
                  <c:v>274886.5</c:v>
                </c:pt>
                <c:pt idx="5" formatCode="0.00">
                  <c:v>169044.1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36-48A1-AA42-8268AEE8C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42670280968977"/>
          <c:y val="0.15678135623796371"/>
          <c:w val="0.75219482810550309"/>
          <c:h val="0.65153828291570792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 const,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'ro const, M=1,5'!$G$5:$Q$5</c:f>
              <c:numCache>
                <c:formatCode>0.000</c:formatCode>
                <c:ptCount val="11"/>
                <c:pt idx="0">
                  <c:v>44.302853665092215</c:v>
                </c:pt>
                <c:pt idx="1">
                  <c:v>49.193418658521011</c:v>
                </c:pt>
                <c:pt idx="2">
                  <c:v>54.964602234417875</c:v>
                </c:pt>
                <c:pt idx="3">
                  <c:v>61.853602596342633</c:v>
                </c:pt>
                <c:pt idx="4">
                  <c:v>70.189813887526668</c:v>
                </c:pt>
                <c:pt idx="5">
                  <c:v>80.448328672417901</c:v>
                </c:pt>
                <c:pt idx="6">
                  <c:v>93.348781839574386</c:v>
                </c:pt>
                <c:pt idx="7">
                  <c:v>110.06092001207743</c:v>
                </c:pt>
                <c:pt idx="8">
                  <c:v>132.71008272076148</c:v>
                </c:pt>
                <c:pt idx="9">
                  <c:v>166.03220948082955</c:v>
                </c:pt>
                <c:pt idx="10">
                  <c:v>422.95978015616896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BF-4E9C-8AB0-65C5867C2BD4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 const, M=1,5'!$S$24:$X$24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'ro const, M=1,5'!$S$26:$X$26</c:f>
              <c:numCache>
                <c:formatCode>General</c:formatCode>
                <c:ptCount val="6"/>
                <c:pt idx="0">
                  <c:v>59.260750000000002</c:v>
                </c:pt>
                <c:pt idx="1">
                  <c:v>75.040980000000005</c:v>
                </c:pt>
                <c:pt idx="2">
                  <c:v>103.6818</c:v>
                </c:pt>
                <c:pt idx="3">
                  <c:v>156.67660000000001</c:v>
                </c:pt>
                <c:pt idx="4" formatCode="0.00">
                  <c:v>199.47919999999999</c:v>
                </c:pt>
                <c:pt idx="5">
                  <c:v>333.14179999999999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BF-4E9C-8AB0-65C5867C2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93727034120735"/>
          <c:y val="5.0925925925925923E-2"/>
          <c:w val="0.77007174103237097"/>
          <c:h val="0.6842672790901137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'ro var M=1,5'!$G$3:$Q$3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B-4C23-BD91-423C9F713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8786607"/>
        <c:axId val="604046127"/>
      </c:lineChart>
      <c:catAx>
        <c:axId val="123878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66534601924759407"/>
              <c:y val="0.85185185185185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046127"/>
        <c:crosses val="autoZero"/>
        <c:auto val="1"/>
        <c:lblAlgn val="ctr"/>
        <c:lblOffset val="100"/>
        <c:noMultiLvlLbl val="0"/>
      </c:catAx>
      <c:valAx>
        <c:axId val="60404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R,m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878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20959492563429571"/>
          <c:y val="0.17171296296296296"/>
          <c:w val="0.75984951881014873"/>
          <c:h val="0.5171839457567802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 var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cat>
          <c:val>
            <c:numRef>
              <c:f>'ro var M=1,5'!$G$10:$Q$10</c:f>
              <c:numCache>
                <c:formatCode>0.00000</c:formatCode>
                <c:ptCount val="11"/>
                <c:pt idx="0">
                  <c:v>2.5304589427227397</c:v>
                </c:pt>
                <c:pt idx="1">
                  <c:v>2.5304589357924265</c:v>
                </c:pt>
                <c:pt idx="2">
                  <c:v>2.5304585535385713</c:v>
                </c:pt>
                <c:pt idx="3">
                  <c:v>2.5304582338299362</c:v>
                </c:pt>
                <c:pt idx="4">
                  <c:v>2.5304579834421137</c:v>
                </c:pt>
                <c:pt idx="5">
                  <c:v>2.5304578051644318</c:v>
                </c:pt>
                <c:pt idx="6">
                  <c:v>2.5304576962603322</c:v>
                </c:pt>
                <c:pt idx="7">
                  <c:v>2.5304576471963278</c:v>
                </c:pt>
                <c:pt idx="8">
                  <c:v>2.5304576413444111</c:v>
                </c:pt>
                <c:pt idx="9">
                  <c:v>2.530457656758843</c:v>
                </c:pt>
                <c:pt idx="10">
                  <c:v>2.5304576712841005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6-436A-93C2-808D6961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522847"/>
        <c:axId val="604066511"/>
      </c:lineChart>
      <c:catAx>
        <c:axId val="1256522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x,m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50656824146981627"/>
              <c:y val="0.77314814814814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4066511"/>
        <c:crosses val="autoZero"/>
        <c:auto val="1"/>
        <c:lblAlgn val="ctr"/>
        <c:lblOffset val="100"/>
        <c:noMultiLvlLbl val="0"/>
      </c:catAx>
      <c:valAx>
        <c:axId val="6040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G, kg/s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652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34389609586523"/>
          <c:y val="0.15678135623796371"/>
          <c:w val="0.7713332902343577"/>
          <c:h val="0.62802007819031325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 var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'ro var M=1,5'!$G$5:$Q$5</c:f>
              <c:numCache>
                <c:formatCode>0.000</c:formatCode>
                <c:ptCount val="11"/>
                <c:pt idx="0">
                  <c:v>106.2065005624962</c:v>
                </c:pt>
                <c:pt idx="1">
                  <c:v>117.6803327096016</c:v>
                </c:pt>
                <c:pt idx="2">
                  <c:v>131.11911624691996</c:v>
                </c:pt>
                <c:pt idx="3">
                  <c:v>146.99857533568806</c:v>
                </c:pt>
                <c:pt idx="4">
                  <c:v>165.94759393368457</c:v>
                </c:pt>
                <c:pt idx="5">
                  <c:v>188.8114712744632</c:v>
                </c:pt>
                <c:pt idx="6">
                  <c:v>216.74785303996583</c:v>
                </c:pt>
                <c:pt idx="7">
                  <c:v>251.37620333892744</c:v>
                </c:pt>
                <c:pt idx="8">
                  <c:v>295.01790459969169</c:v>
                </c:pt>
                <c:pt idx="9">
                  <c:v>351.09569025097989</c:v>
                </c:pt>
                <c:pt idx="10">
                  <c:v>424.8257876463183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4-46F5-A0DB-E4F4861F3B2E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 var M=1,5'!$S$24:$X$24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'ro var M=1,5'!$S$26:$X$26</c:f>
              <c:numCache>
                <c:formatCode>General</c:formatCode>
                <c:ptCount val="6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 formatCode="0.00">
                  <c:v>338.23829999999998</c:v>
                </c:pt>
                <c:pt idx="5">
                  <c:v>440.15249999999997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4-46F5-A0DB-E4F4861F3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135099583140342"/>
          <c:y val="0.15678135623796371"/>
          <c:w val="0.76459305233904584"/>
          <c:h val="0.52120528241056474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 var M=1,5'!$G$2:$Q$2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'ro var M=1,5'!$G$6:$Q$6</c:f>
              <c:numCache>
                <c:formatCode>0.00</c:formatCode>
                <c:ptCount val="11"/>
                <c:pt idx="0">
                  <c:v>209816.70619867407</c:v>
                </c:pt>
                <c:pt idx="1">
                  <c:v>208216.66669290102</c:v>
                </c:pt>
                <c:pt idx="2">
                  <c:v>206128.60029518459</c:v>
                </c:pt>
                <c:pt idx="3">
                  <c:v>203362.50480581902</c:v>
                </c:pt>
                <c:pt idx="4">
                  <c:v>199636.22018117688</c:v>
                </c:pt>
                <c:pt idx="5">
                  <c:v>194520.61988493794</c:v>
                </c:pt>
                <c:pt idx="6">
                  <c:v>187345.26625964639</c:v>
                </c:pt>
                <c:pt idx="7">
                  <c:v>177030.14555812199</c:v>
                </c:pt>
                <c:pt idx="8">
                  <c:v>161773.17190759812</c:v>
                </c:pt>
                <c:pt idx="9">
                  <c:v>138442.09931834877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9-417A-91D9-CFDB8B4F7A4D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 var M=1,5'!$S$24:$X$24</c:f>
              <c:numCache>
                <c:formatCode>0.0000</c:formatCode>
                <c:ptCount val="6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 formatCode="0.000">
                  <c:v>8.5000000000000006E-2</c:v>
                </c:pt>
                <c:pt idx="5">
                  <c:v>0.1</c:v>
                </c:pt>
              </c:numCache>
            </c:numRef>
          </c:xVal>
          <c:yVal>
            <c:numRef>
              <c:f>'ro var M=1,5'!$S$25:$X$25</c:f>
              <c:numCache>
                <c:formatCode>General</c:formatCode>
                <c:ptCount val="6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148689.5</c:v>
                </c:pt>
                <c:pt idx="5" formatCode="0.0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9-417A-91D9-CFDB8B4F7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88900</xdr:rowOff>
        </xdr:from>
        <xdr:to>
          <xdr:col>2</xdr:col>
          <xdr:colOff>546100</xdr:colOff>
          <xdr:row>17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120650</xdr:colOff>
      <xdr:row>23</xdr:row>
      <xdr:rowOff>76200</xdr:rowOff>
    </xdr:from>
    <xdr:to>
      <xdr:col>7</xdr:col>
      <xdr:colOff>803275</xdr:colOff>
      <xdr:row>39</xdr:row>
      <xdr:rowOff>69850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</xdr:colOff>
      <xdr:row>23</xdr:row>
      <xdr:rowOff>69850</xdr:rowOff>
    </xdr:from>
    <xdr:to>
      <xdr:col>14</xdr:col>
      <xdr:colOff>479425</xdr:colOff>
      <xdr:row>38</xdr:row>
      <xdr:rowOff>50800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320675</xdr:colOff>
      <xdr:row>42</xdr:row>
      <xdr:rowOff>50800</xdr:rowOff>
    </xdr:from>
    <xdr:to>
      <xdr:col>7</xdr:col>
      <xdr:colOff>796925</xdr:colOff>
      <xdr:row>57</xdr:row>
      <xdr:rowOff>31750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15875</xdr:colOff>
      <xdr:row>42</xdr:row>
      <xdr:rowOff>69850</xdr:rowOff>
    </xdr:from>
    <xdr:to>
      <xdr:col>14</xdr:col>
      <xdr:colOff>447675</xdr:colOff>
      <xdr:row>57</xdr:row>
      <xdr:rowOff>50800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184150</xdr:rowOff>
        </xdr:from>
        <xdr:to>
          <xdr:col>4</xdr:col>
          <xdr:colOff>31750</xdr:colOff>
          <xdr:row>18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257175</xdr:colOff>
      <xdr:row>22</xdr:row>
      <xdr:rowOff>120650</xdr:rowOff>
    </xdr:from>
    <xdr:to>
      <xdr:col>6</xdr:col>
      <xdr:colOff>879475</xdr:colOff>
      <xdr:row>37</xdr:row>
      <xdr:rowOff>101600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809625</xdr:colOff>
      <xdr:row>22</xdr:row>
      <xdr:rowOff>165100</xdr:rowOff>
    </xdr:from>
    <xdr:to>
      <xdr:col>13</xdr:col>
      <xdr:colOff>123825</xdr:colOff>
      <xdr:row>37</xdr:row>
      <xdr:rowOff>146050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257175</xdr:colOff>
      <xdr:row>39</xdr:row>
      <xdr:rowOff>69850</xdr:rowOff>
    </xdr:from>
    <xdr:to>
      <xdr:col>6</xdr:col>
      <xdr:colOff>879475</xdr:colOff>
      <xdr:row>54</xdr:row>
      <xdr:rowOff>50800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841375</xdr:colOff>
      <xdr:row>39</xdr:row>
      <xdr:rowOff>38100</xdr:rowOff>
    </xdr:from>
    <xdr:to>
      <xdr:col>13</xdr:col>
      <xdr:colOff>155575</xdr:colOff>
      <xdr:row>54</xdr:row>
      <xdr:rowOff>19050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590550</xdr:colOff>
      <xdr:row>31</xdr:row>
      <xdr:rowOff>0</xdr:rowOff>
    </xdr:from>
    <xdr:to>
      <xdr:col>30</xdr:col>
      <xdr:colOff>215900</xdr:colOff>
      <xdr:row>98</xdr:row>
      <xdr:rowOff>152400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184150</xdr:rowOff>
        </xdr:from>
        <xdr:to>
          <xdr:col>4</xdr:col>
          <xdr:colOff>31750</xdr:colOff>
          <xdr:row>18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530225</xdr:colOff>
      <xdr:row>23</xdr:row>
      <xdr:rowOff>38100</xdr:rowOff>
    </xdr:from>
    <xdr:to>
      <xdr:col>7</xdr:col>
      <xdr:colOff>542925</xdr:colOff>
      <xdr:row>38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396875</xdr:colOff>
      <xdr:row>23</xdr:row>
      <xdr:rowOff>25400</xdr:rowOff>
    </xdr:from>
    <xdr:to>
      <xdr:col>14</xdr:col>
      <xdr:colOff>244475</xdr:colOff>
      <xdr:row>38</xdr:row>
      <xdr:rowOff>6350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584200</xdr:colOff>
      <xdr:row>40</xdr:row>
      <xdr:rowOff>95250</xdr:rowOff>
    </xdr:from>
    <xdr:to>
      <xdr:col>7</xdr:col>
      <xdr:colOff>558800</xdr:colOff>
      <xdr:row>52</xdr:row>
      <xdr:rowOff>146050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387351</xdr:colOff>
      <xdr:row>40</xdr:row>
      <xdr:rowOff>69850</xdr:rowOff>
    </xdr:from>
    <xdr:to>
      <xdr:col>14</xdr:col>
      <xdr:colOff>311151</xdr:colOff>
      <xdr:row>53</xdr:row>
      <xdr:rowOff>44450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0.02093</cdr:x>
      <cdr:y>0.20506</cdr:y>
    </cdr:from>
    <cdr:to>
      <cdr:x>0.07781</cdr:x>
      <cdr:y>0.44405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46304" y="604732"/>
          <a:ext cx="540275" cy="2579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bg2">
                  <a:lumMod val="50000"/>
                </a:schemeClr>
              </a:solidFill>
            </a:rPr>
            <a:t>P, Pa</a:t>
          </a:r>
          <a:endParaRPr lang="ru-RU" sz="11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0.8637</cdr:x>
      <cdr:y>0.84465</cdr:y>
    </cdr:from>
    <cdr:to>
      <cdr:x>0.95098</cdr:x>
      <cdr:y>0.95787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915931" y="1909405"/>
          <a:ext cx="395719" cy="255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bg2">
                  <a:lumMod val="50000"/>
                </a:schemeClr>
              </a:solidFill>
            </a:rPr>
            <a:t>X,</a:t>
          </a:r>
          <a:r>
            <a:rPr lang="en-US" sz="1100" baseline="0">
              <a:solidFill>
                <a:schemeClr val="bg2">
                  <a:lumMod val="50000"/>
                </a:schemeClr>
              </a:solidFill>
            </a:rPr>
            <a:t> m</a:t>
          </a:r>
          <a:endParaRPr lang="ru-RU" sz="11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0.04831</cdr:x>
      <cdr:y>0.26273</cdr:y>
    </cdr:from>
    <cdr:to>
      <cdr:x>0.12022</cdr:x>
      <cdr:y>0.51473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93244" y="753619"/>
          <a:ext cx="596874" cy="3342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bg2">
                  <a:lumMod val="50000"/>
                </a:schemeClr>
              </a:solidFill>
            </a:rPr>
            <a:t>U, m/s</a:t>
          </a:r>
          <a:endParaRPr lang="ru-RU" sz="11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bg2">
                  <a:lumMod val="50000"/>
                </a:schemeClr>
              </a:solidFill>
            </a:rPr>
            <a:t>X,</a:t>
          </a:r>
          <a:r>
            <a:rPr lang="en-US" sz="1100" baseline="0">
              <a:solidFill>
                <a:schemeClr val="bg2">
                  <a:lumMod val="50000"/>
                </a:schemeClr>
              </a:solidFill>
            </a:rPr>
            <a:t> m</a:t>
          </a:r>
          <a:endParaRPr lang="ru-RU" sz="11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15</xdr:row>
          <xdr:rowOff>88900</xdr:rowOff>
        </xdr:from>
        <xdr:to>
          <xdr:col>2</xdr:col>
          <xdr:colOff>622300</xdr:colOff>
          <xdr:row>17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Зaпуск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498475</xdr:colOff>
      <xdr:row>22</xdr:row>
      <xdr:rowOff>88900</xdr:rowOff>
    </xdr:from>
    <xdr:to>
      <xdr:col>7</xdr:col>
      <xdr:colOff>561975</xdr:colOff>
      <xdr:row>37</xdr:row>
      <xdr:rowOff>69850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422275</xdr:colOff>
      <xdr:row>22</xdr:row>
      <xdr:rowOff>133350</xdr:rowOff>
    </xdr:from>
    <xdr:to>
      <xdr:col>15</xdr:col>
      <xdr:colOff>460375</xdr:colOff>
      <xdr:row>37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552450</xdr:colOff>
      <xdr:row>39</xdr:row>
      <xdr:rowOff>25400</xdr:rowOff>
    </xdr:from>
    <xdr:to>
      <xdr:col>17</xdr:col>
      <xdr:colOff>415474</xdr:colOff>
      <xdr:row>54</xdr:row>
      <xdr:rowOff>131536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107950</xdr:colOff>
      <xdr:row>39</xdr:row>
      <xdr:rowOff>133350</xdr:rowOff>
    </xdr:from>
    <xdr:to>
      <xdr:col>8</xdr:col>
      <xdr:colOff>349250</xdr:colOff>
      <xdr:row>52</xdr:row>
      <xdr:rowOff>158750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0.07764</cdr:x>
      <cdr:y>0.1926</cdr:y>
    </cdr:from>
    <cdr:to>
      <cdr:x>0.13513</cdr:x>
      <cdr:y>0.43009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264968" y="729427"/>
          <a:ext cx="681208" cy="3272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0.02593</cdr:x>
      <cdr:y>0.22835</cdr:y>
    </cdr:from>
    <cdr:to>
      <cdr:x>0.07707</cdr:x>
      <cdr:y>0.48344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30620" y="723020"/>
          <a:ext cx="617160" cy="276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31"/>
  <sheetViews>
    <sheetView tabSelected="1" workbookViewId="0">
      <selection activeCell="D8" sqref="D8"/>
    </sheetView>
  </sheetViews>
  <sheetFormatPr defaultRowHeight="14.5" x14ac:dyDescent="0.35"/>
  <cols>
    <col min="3" max="3" width="11.36328125" customWidth="1"/>
    <col min="7" max="7" width="12.36328125" customWidth="1"/>
    <col min="8" max="8" width="14.90625" customWidth="1"/>
    <col min="9" max="9" width="14.36328125" customWidth="1"/>
    <col min="10" max="10" width="12.453125" customWidth="1"/>
    <col min="11" max="11" width="12.36328125" customWidth="1"/>
    <col min="12" max="12" width="12" customWidth="1"/>
    <col min="13" max="13" width="11.36328125" customWidth="1"/>
    <col min="14" max="14" width="11.08984375" customWidth="1"/>
    <col min="15" max="15" width="11.90625" customWidth="1"/>
    <col min="16" max="16" width="12.54296875" customWidth="1"/>
    <col min="17" max="17" width="13.6328125" customWidth="1"/>
    <col min="25" max="25" width="10.453125" customWidth="1"/>
  </cols>
  <sheetData>
    <row r="1" spans="1:19" x14ac:dyDescent="0.35">
      <c r="A1" s="1"/>
      <c r="B1" s="1"/>
      <c r="C1" s="1"/>
      <c r="D1" s="1"/>
      <c r="E1" s="1"/>
      <c r="F1" s="2" t="s">
        <v>0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1:19" x14ac:dyDescent="0.35">
      <c r="A2" s="1"/>
      <c r="B2" s="1"/>
      <c r="C2" s="1"/>
      <c r="D2" s="1"/>
      <c r="E2" s="1"/>
      <c r="F2" s="2" t="s">
        <v>1</v>
      </c>
      <c r="G2" s="3">
        <v>0</v>
      </c>
      <c r="H2" s="3">
        <v>0.01</v>
      </c>
      <c r="I2" s="3">
        <v>0.02</v>
      </c>
      <c r="J2" s="3">
        <v>0.03</v>
      </c>
      <c r="K2" s="3">
        <v>0.04</v>
      </c>
      <c r="L2" s="3">
        <v>0.05</v>
      </c>
      <c r="M2" s="3">
        <v>0.06</v>
      </c>
      <c r="N2" s="3">
        <v>7.0000000000000007E-2</v>
      </c>
      <c r="O2" s="3">
        <v>0.08</v>
      </c>
      <c r="P2" s="3">
        <v>0.09</v>
      </c>
      <c r="Q2" s="3">
        <v>0.1</v>
      </c>
      <c r="R2" s="3">
        <v>0.11</v>
      </c>
      <c r="S2" s="3">
        <v>0.12</v>
      </c>
    </row>
    <row r="3" spans="1:19" x14ac:dyDescent="0.35">
      <c r="A3" s="1"/>
      <c r="B3" s="2" t="s">
        <v>2</v>
      </c>
      <c r="C3" s="2">
        <v>0.1</v>
      </c>
      <c r="D3" s="1"/>
      <c r="E3" s="1"/>
      <c r="F3" s="2" t="s">
        <v>3</v>
      </c>
      <c r="G3" s="3">
        <v>0.08</v>
      </c>
      <c r="H3" s="3">
        <f>G3+($Q$3-$G$3)/10</f>
        <v>7.5999999999999998E-2</v>
      </c>
      <c r="I3" s="3">
        <f t="shared" ref="I3:P3" si="0">H3+($Q$3-$G$3)/10</f>
        <v>7.1999999999999995E-2</v>
      </c>
      <c r="J3" s="3">
        <f t="shared" si="0"/>
        <v>6.7999999999999991E-2</v>
      </c>
      <c r="K3" s="3">
        <f t="shared" si="0"/>
        <v>6.3999999999999987E-2</v>
      </c>
      <c r="L3" s="3">
        <f t="shared" si="0"/>
        <v>5.9999999999999984E-2</v>
      </c>
      <c r="M3" s="3">
        <f t="shared" si="0"/>
        <v>5.599999999999998E-2</v>
      </c>
      <c r="N3" s="3">
        <f t="shared" si="0"/>
        <v>5.1999999999999977E-2</v>
      </c>
      <c r="O3" s="3">
        <f t="shared" si="0"/>
        <v>4.7999999999999973E-2</v>
      </c>
      <c r="P3" s="3">
        <f t="shared" si="0"/>
        <v>4.399999999999997E-2</v>
      </c>
      <c r="Q3" s="3">
        <v>0.04</v>
      </c>
    </row>
    <row r="4" spans="1:19" x14ac:dyDescent="0.35">
      <c r="A4" s="1"/>
      <c r="B4" s="2" t="s">
        <v>4</v>
      </c>
      <c r="C4" s="2">
        <v>0.01</v>
      </c>
      <c r="D4" s="1"/>
      <c r="E4" s="1"/>
      <c r="F4" s="2" t="s">
        <v>5</v>
      </c>
      <c r="G4" s="3">
        <f>(PI()*(2*G3)^2)/4</f>
        <v>2.0106192982974676E-2</v>
      </c>
      <c r="H4" s="3">
        <f t="shared" ref="H4:Q4" si="1">(PI()*(2*H3)^2)/4</f>
        <v>1.8145839167134643E-2</v>
      </c>
      <c r="I4" s="3">
        <f t="shared" si="1"/>
        <v>1.6286016316209486E-2</v>
      </c>
      <c r="J4" s="3">
        <f t="shared" si="1"/>
        <v>1.4526724430199199E-2</v>
      </c>
      <c r="K4" s="3">
        <f t="shared" si="1"/>
        <v>1.2867963509103787E-2</v>
      </c>
      <c r="L4" s="3">
        <f t="shared" si="1"/>
        <v>1.1309733552923249E-2</v>
      </c>
      <c r="M4" s="3">
        <f t="shared" si="1"/>
        <v>9.8520345616575841E-3</v>
      </c>
      <c r="N4" s="3">
        <f t="shared" si="1"/>
        <v>8.4948665353067939E-3</v>
      </c>
      <c r="O4" s="3">
        <f t="shared" si="1"/>
        <v>7.2382294738708754E-3</v>
      </c>
      <c r="P4" s="3">
        <f t="shared" si="1"/>
        <v>6.0821233773498311E-3</v>
      </c>
      <c r="Q4" s="3">
        <f t="shared" si="1"/>
        <v>5.0265482457436689E-3</v>
      </c>
    </row>
    <row r="5" spans="1:19" x14ac:dyDescent="0.35">
      <c r="A5" s="1"/>
      <c r="B5" s="1"/>
      <c r="C5" s="1"/>
      <c r="D5" s="1"/>
      <c r="E5" s="1"/>
      <c r="F5" s="2" t="s">
        <v>6</v>
      </c>
      <c r="G5" s="3">
        <v>57.42825180460602</v>
      </c>
      <c r="H5" s="3">
        <v>63.632411932690879</v>
      </c>
      <c r="I5" s="3">
        <v>70.899073860139026</v>
      </c>
      <c r="J5" s="3">
        <v>79.485464977897308</v>
      </c>
      <c r="K5" s="3">
        <v>89.731636871569435</v>
      </c>
      <c r="L5" s="3">
        <v>102.09466172084878</v>
      </c>
      <c r="M5" s="3">
        <v>117.2005045099404</v>
      </c>
      <c r="N5" s="3">
        <v>135.92484602206315</v>
      </c>
      <c r="O5" s="3">
        <v>159.52291047967034</v>
      </c>
      <c r="P5" s="3">
        <v>189.84544811072732</v>
      </c>
      <c r="Q5" s="3">
        <v>229.71299277578331</v>
      </c>
    </row>
    <row r="6" spans="1:19" x14ac:dyDescent="0.35">
      <c r="A6" s="1"/>
      <c r="B6" s="4" t="s">
        <v>7</v>
      </c>
      <c r="C6" s="4">
        <v>1.4</v>
      </c>
      <c r="D6" s="1"/>
      <c r="E6" s="1"/>
      <c r="F6" s="2" t="s">
        <v>8</v>
      </c>
      <c r="G6" s="10">
        <v>133045.93256759006</v>
      </c>
      <c r="H6" s="10">
        <v>132578.11155099684</v>
      </c>
      <c r="I6" s="10">
        <v>131967.60002903815</v>
      </c>
      <c r="J6" s="10">
        <v>131158.84548351332</v>
      </c>
      <c r="K6" s="10">
        <v>130069.34964168441</v>
      </c>
      <c r="L6" s="10">
        <v>128573.64401750073</v>
      </c>
      <c r="M6" s="10">
        <v>126475.70532819227</v>
      </c>
      <c r="N6" s="10">
        <v>123459.7579916282</v>
      </c>
      <c r="O6" s="10">
        <v>118998.90616087447</v>
      </c>
      <c r="P6" s="10">
        <v>112177.34020360543</v>
      </c>
      <c r="Q6" s="10">
        <v>101325</v>
      </c>
    </row>
    <row r="7" spans="1:19" x14ac:dyDescent="0.35">
      <c r="A7" s="1"/>
      <c r="B7" s="4" t="s">
        <v>3</v>
      </c>
      <c r="C7" s="4">
        <v>286.97199999999998</v>
      </c>
      <c r="D7" s="1"/>
      <c r="E7" s="1"/>
      <c r="F7" s="2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1:19" x14ac:dyDescent="0.35">
      <c r="A8" s="1"/>
      <c r="B8" s="4" t="s">
        <v>10</v>
      </c>
      <c r="C8" s="4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9" x14ac:dyDescent="0.35">
      <c r="A10" s="1"/>
      <c r="B10" s="5" t="s">
        <v>11</v>
      </c>
      <c r="C10" s="5">
        <v>135000</v>
      </c>
      <c r="D10" s="1"/>
      <c r="E10" s="1"/>
      <c r="F10" s="6" t="s">
        <v>12</v>
      </c>
      <c r="G10" s="6">
        <f>G4*G7*G13</f>
        <v>1.3682762626057496</v>
      </c>
      <c r="H10" s="6">
        <f>H4*H7*H13</f>
        <v>1.3682762617684603</v>
      </c>
      <c r="I10" s="6">
        <f t="shared" ref="I10:Q10" si="2">I4*I7*I13</f>
        <v>1.3682762157621826</v>
      </c>
      <c r="J10" s="6">
        <f t="shared" si="2"/>
        <v>1.3682761831018535</v>
      </c>
      <c r="K10" s="6">
        <f t="shared" si="2"/>
        <v>1.3682761630482727</v>
      </c>
      <c r="L10" s="6">
        <f t="shared" si="2"/>
        <v>1.3682761541113297</v>
      </c>
      <c r="M10" s="6">
        <f t="shared" si="2"/>
        <v>1.3682761539801853</v>
      </c>
      <c r="N10" s="6">
        <f t="shared" si="2"/>
        <v>1.3682761595868003</v>
      </c>
      <c r="O10" s="6">
        <f t="shared" si="2"/>
        <v>1.3682761674034831</v>
      </c>
      <c r="P10" s="6">
        <f t="shared" si="2"/>
        <v>1.3682761740767435</v>
      </c>
      <c r="Q10" s="6">
        <f t="shared" si="2"/>
        <v>1.3682761774105556</v>
      </c>
    </row>
    <row r="11" spans="1:19" x14ac:dyDescent="0.35">
      <c r="A11" s="1"/>
      <c r="B11" s="5" t="s">
        <v>13</v>
      </c>
      <c r="C11" s="5">
        <v>288.16000000000003</v>
      </c>
      <c r="D11" s="1"/>
      <c r="E11" s="1"/>
      <c r="F11" s="6" t="s">
        <v>14</v>
      </c>
      <c r="G11" s="6">
        <v>0</v>
      </c>
      <c r="H11" s="6">
        <f>H13*(H10-I10)</f>
        <v>2.9274904108010679E-6</v>
      </c>
      <c r="I11" s="6">
        <f t="shared" ref="I11:P11" si="3">I13*(I10-J10)</f>
        <v>2.3155870847660723E-6</v>
      </c>
      <c r="J11" s="6">
        <f t="shared" si="3"/>
        <v>1.5939681936435585E-6</v>
      </c>
      <c r="K11" s="6">
        <f t="shared" si="3"/>
        <v>8.0192652063856126E-7</v>
      </c>
      <c r="L11" s="6">
        <f t="shared" si="3"/>
        <v>1.3389146079046605E-8</v>
      </c>
      <c r="M11" s="6">
        <f t="shared" si="3"/>
        <v>-6.5709810074527413E-7</v>
      </c>
      <c r="N11" s="6">
        <f t="shared" si="3"/>
        <v>-1.0624814136992251E-6</v>
      </c>
      <c r="O11" s="6">
        <f t="shared" si="3"/>
        <v>-1.0645379196129261E-6</v>
      </c>
      <c r="P11" s="6">
        <f t="shared" si="3"/>
        <v>-6.3290905493911361E-7</v>
      </c>
      <c r="Q11" s="6">
        <v>0</v>
      </c>
    </row>
    <row r="12" spans="1:19" x14ac:dyDescent="0.35">
      <c r="A12" s="1"/>
      <c r="B12" s="5" t="s">
        <v>8</v>
      </c>
      <c r="C12" s="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9" x14ac:dyDescent="0.35">
      <c r="A13" s="1"/>
      <c r="B13" s="1"/>
      <c r="C13" s="1"/>
      <c r="D13" s="1"/>
      <c r="E13" s="1"/>
      <c r="F13" s="2" t="s">
        <v>6</v>
      </c>
      <c r="G13" s="11">
        <f>(H4*H5*H7)/(G4*G7)</f>
        <v>57.428251769253514</v>
      </c>
      <c r="H13" s="11">
        <f t="shared" ref="H13:Q13" si="4">((G6-H6)/H7+G5*H5)^0.5</f>
        <v>63.632411893752298</v>
      </c>
      <c r="I13" s="11">
        <f t="shared" si="4"/>
        <v>70.899073831075199</v>
      </c>
      <c r="J13" s="11">
        <f t="shared" si="4"/>
        <v>79.485464958306451</v>
      </c>
      <c r="K13" s="11">
        <f t="shared" si="4"/>
        <v>89.73163686047306</v>
      </c>
      <c r="L13" s="11">
        <f t="shared" si="4"/>
        <v>102.09466171663675</v>
      </c>
      <c r="M13" s="11">
        <f t="shared" si="4"/>
        <v>117.20050451041612</v>
      </c>
      <c r="N13" s="11">
        <f t="shared" si="4"/>
        <v>135.92484602466388</v>
      </c>
      <c r="O13" s="11">
        <f t="shared" si="4"/>
        <v>159.52291048193436</v>
      </c>
      <c r="P13" s="11">
        <f t="shared" si="4"/>
        <v>189.8454481110129</v>
      </c>
      <c r="Q13" s="11">
        <f t="shared" si="4"/>
        <v>229.71299277402224</v>
      </c>
    </row>
    <row r="14" spans="1:19" x14ac:dyDescent="0.35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11">
        <f>C10-(G7*G13^2)/2</f>
        <v>133045.93256999587</v>
      </c>
      <c r="H14" s="11">
        <f>H6+H11</f>
        <v>132578.11155392433</v>
      </c>
      <c r="I14" s="11">
        <f t="shared" ref="I14:Q14" si="5">I6+I11</f>
        <v>131967.60003135374</v>
      </c>
      <c r="J14" s="11">
        <f t="shared" si="5"/>
        <v>131158.84548510727</v>
      </c>
      <c r="K14" s="11">
        <f t="shared" si="5"/>
        <v>130069.34964248634</v>
      </c>
      <c r="L14" s="11">
        <f t="shared" si="5"/>
        <v>128573.64401751412</v>
      </c>
      <c r="M14" s="11">
        <f t="shared" si="5"/>
        <v>126475.70532753518</v>
      </c>
      <c r="N14" s="11">
        <f t="shared" si="5"/>
        <v>123459.75799056572</v>
      </c>
      <c r="O14" s="11">
        <f t="shared" si="5"/>
        <v>118998.90615980994</v>
      </c>
      <c r="P14" s="11">
        <f t="shared" si="5"/>
        <v>112177.34020297253</v>
      </c>
      <c r="Q14" s="11">
        <f t="shared" si="5"/>
        <v>101325</v>
      </c>
    </row>
    <row r="15" spans="1:19" x14ac:dyDescent="0.35">
      <c r="A15" s="1"/>
      <c r="B15" s="1"/>
      <c r="C15" s="1"/>
      <c r="D15" s="1"/>
      <c r="E15" s="1"/>
      <c r="F15" s="2" t="s">
        <v>9</v>
      </c>
      <c r="G15" s="8">
        <v>1.1850000000000001</v>
      </c>
      <c r="H15" s="8">
        <v>1.1850000000000001</v>
      </c>
      <c r="I15" s="8">
        <v>1.1850000000000001</v>
      </c>
      <c r="J15" s="8">
        <v>1.1850000000000001</v>
      </c>
      <c r="K15" s="8">
        <v>1.1850000000000001</v>
      </c>
      <c r="L15" s="8">
        <v>1.1850000000000001</v>
      </c>
      <c r="M15" s="8">
        <v>1.1850000000000001</v>
      </c>
      <c r="N15" s="8">
        <v>1.1850000000000001</v>
      </c>
      <c r="O15" s="8">
        <v>1.1850000000000001</v>
      </c>
      <c r="P15" s="8">
        <v>1.1850000000000001</v>
      </c>
      <c r="Q15" s="8">
        <v>1.1850000000000001</v>
      </c>
    </row>
    <row r="16" spans="1:19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26" x14ac:dyDescent="0.35">
      <c r="A17" s="1"/>
      <c r="B17" s="1"/>
      <c r="C17" s="1"/>
      <c r="D17" s="1"/>
      <c r="E17" s="1"/>
      <c r="F17" s="2" t="s">
        <v>16</v>
      </c>
      <c r="G17" s="2">
        <f>$C$11-(G13^2)/(2*$C$8)</f>
        <v>286.51822177355996</v>
      </c>
      <c r="H17" s="2">
        <f t="shared" ref="H17:Q17" si="6">$C$11-(H13^2)/(2*$C$8)</f>
        <v>286.14432703931897</v>
      </c>
      <c r="I17" s="2">
        <f t="shared" si="6"/>
        <v>285.657670912931</v>
      </c>
      <c r="J17" s="2">
        <f t="shared" si="6"/>
        <v>285.01486900655209</v>
      </c>
      <c r="K17" s="2">
        <f t="shared" si="6"/>
        <v>284.15175296014547</v>
      </c>
      <c r="L17" s="2">
        <f t="shared" si="6"/>
        <v>282.97117087264314</v>
      </c>
      <c r="M17" s="2">
        <f t="shared" si="6"/>
        <v>281.32210759782157</v>
      </c>
      <c r="N17" s="2">
        <f t="shared" si="6"/>
        <v>278.96268629687944</v>
      </c>
      <c r="O17" s="2">
        <f t="shared" si="6"/>
        <v>275.49195989216088</v>
      </c>
      <c r="P17" s="2">
        <f t="shared" si="6"/>
        <v>270.21829641155352</v>
      </c>
      <c r="Q17" s="2">
        <f t="shared" si="6"/>
        <v>261.89155164814917</v>
      </c>
    </row>
    <row r="18" spans="1:26" x14ac:dyDescent="0.35">
      <c r="A18" s="1"/>
      <c r="B18" s="1"/>
      <c r="C18" s="1"/>
      <c r="D18" s="1"/>
      <c r="E18" s="1"/>
      <c r="F18" s="2" t="s">
        <v>17</v>
      </c>
      <c r="G18" s="2">
        <f>SQRT($C$7*$C$6*G17)</f>
        <v>339.28128447399342</v>
      </c>
      <c r="H18" s="2">
        <f t="shared" ref="H18:Q18" si="7">SQRT($C$7*$C$6*H17)</f>
        <v>339.0598380032327</v>
      </c>
      <c r="I18" s="2">
        <f t="shared" si="7"/>
        <v>338.77138957136845</v>
      </c>
      <c r="J18" s="2">
        <f t="shared" si="7"/>
        <v>338.39001430888527</v>
      </c>
      <c r="K18" s="2">
        <f t="shared" si="7"/>
        <v>337.87724929428202</v>
      </c>
      <c r="L18" s="2">
        <f t="shared" si="7"/>
        <v>337.17461942846438</v>
      </c>
      <c r="M18" s="2">
        <f t="shared" si="7"/>
        <v>336.19071225449829</v>
      </c>
      <c r="N18" s="2">
        <f t="shared" si="7"/>
        <v>334.77794434039902</v>
      </c>
      <c r="O18" s="2">
        <f t="shared" si="7"/>
        <v>332.68884892620378</v>
      </c>
      <c r="P18" s="2">
        <f t="shared" si="7"/>
        <v>329.48917879187303</v>
      </c>
      <c r="Q18" s="2">
        <f t="shared" si="7"/>
        <v>324.37287078823613</v>
      </c>
    </row>
    <row r="19" spans="1:26" x14ac:dyDescent="0.35">
      <c r="A19" s="1"/>
      <c r="B19" s="1"/>
      <c r="C19" s="1"/>
      <c r="D19" s="1"/>
      <c r="E19" s="1"/>
      <c r="F19" s="2" t="s">
        <v>18</v>
      </c>
      <c r="G19" s="2">
        <f>G13/G18</f>
        <v>0.16926442570590863</v>
      </c>
      <c r="H19" s="2">
        <f t="shared" ref="H19:Q19" si="8">H13/H18</f>
        <v>0.18767310297937914</v>
      </c>
      <c r="I19" s="2">
        <f t="shared" si="8"/>
        <v>0.20928294423203941</v>
      </c>
      <c r="J19" s="2">
        <f t="shared" si="8"/>
        <v>0.23489305711530672</v>
      </c>
      <c r="K19" s="2">
        <f t="shared" si="8"/>
        <v>0.26557466372149613</v>
      </c>
      <c r="L19" s="2">
        <f t="shared" si="8"/>
        <v>0.3027946228268743</v>
      </c>
      <c r="M19" s="2">
        <f t="shared" si="8"/>
        <v>0.34861315389847736</v>
      </c>
      <c r="N19" s="2">
        <f t="shared" si="8"/>
        <v>0.40601493713234821</v>
      </c>
      <c r="O19" s="2">
        <f t="shared" si="8"/>
        <v>0.47949581417235704</v>
      </c>
      <c r="P19" s="2">
        <f t="shared" si="8"/>
        <v>0.57618113228213708</v>
      </c>
      <c r="Q19" s="2">
        <f t="shared" si="8"/>
        <v>0.70817572448587496</v>
      </c>
    </row>
    <row r="28" spans="1:26" x14ac:dyDescent="0.35">
      <c r="T28" s="18"/>
      <c r="U28" s="19"/>
      <c r="V28" s="19"/>
      <c r="W28" s="19"/>
      <c r="X28" s="19"/>
      <c r="Y28" s="19"/>
      <c r="Z28" s="17"/>
    </row>
    <row r="29" spans="1:26" x14ac:dyDescent="0.35">
      <c r="T29" s="18"/>
      <c r="U29" s="20"/>
      <c r="V29" s="20"/>
      <c r="W29" s="20"/>
      <c r="X29" s="20"/>
      <c r="Y29" s="20"/>
      <c r="Z29" s="13"/>
    </row>
    <row r="30" spans="1:26" x14ac:dyDescent="0.35">
      <c r="T30" s="18"/>
      <c r="U30" s="21"/>
      <c r="V30" s="21"/>
      <c r="W30" s="21"/>
      <c r="X30" s="21"/>
      <c r="Y30" s="18"/>
      <c r="Z30" s="1"/>
    </row>
    <row r="31" spans="1:26" x14ac:dyDescent="0.35">
      <c r="T31" s="18"/>
      <c r="U31" s="21"/>
      <c r="V31" s="21"/>
      <c r="W31" s="21"/>
      <c r="X31" s="21"/>
      <c r="Y31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inniatulin">
                <anchor moveWithCells="1">
                  <from>
                    <xdr:col>1</xdr:col>
                    <xdr:colOff>209550</xdr:colOff>
                    <xdr:row>15</xdr:row>
                    <xdr:rowOff>88900</xdr:rowOff>
                  </from>
                  <to>
                    <xdr:col>2</xdr:col>
                    <xdr:colOff>546100</xdr:colOff>
                    <xdr:row>17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4D3B0-97A0-4F78-8732-CCE2290C2928}">
  <sheetPr codeName="Лист2"/>
  <dimension ref="A1:AC31"/>
  <sheetViews>
    <sheetView topLeftCell="C46" workbookViewId="0">
      <selection activeCell="M88" sqref="M88"/>
    </sheetView>
  </sheetViews>
  <sheetFormatPr defaultRowHeight="14.5" x14ac:dyDescent="0.35"/>
  <cols>
    <col min="3" max="3" width="12.90625" customWidth="1"/>
    <col min="7" max="7" width="12.6328125" customWidth="1"/>
    <col min="8" max="8" width="12.7265625" customWidth="1"/>
    <col min="9" max="9" width="12.54296875" customWidth="1"/>
    <col min="10" max="10" width="12.6328125" customWidth="1"/>
    <col min="11" max="11" width="10.54296875" customWidth="1"/>
    <col min="12" max="12" width="12.1796875" customWidth="1"/>
    <col min="13" max="13" width="14.6328125" customWidth="1"/>
    <col min="14" max="14" width="12.36328125" customWidth="1"/>
    <col min="15" max="15" width="11.453125" customWidth="1"/>
    <col min="16" max="16" width="12.6328125" customWidth="1"/>
    <col min="17" max="17" width="10.81640625" customWidth="1"/>
  </cols>
  <sheetData>
    <row r="1" spans="1:29" x14ac:dyDescent="0.35">
      <c r="A1" s="1"/>
      <c r="B1" s="1"/>
      <c r="C1" s="1"/>
      <c r="D1" s="1"/>
      <c r="E1" s="1"/>
      <c r="F1" s="2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35">
      <c r="A2" s="1"/>
      <c r="B2" s="1"/>
      <c r="C2" s="1"/>
      <c r="D2" s="1"/>
      <c r="E2" s="1"/>
      <c r="F2" s="2" t="s">
        <v>1</v>
      </c>
      <c r="G2" s="3">
        <v>0</v>
      </c>
      <c r="H2" s="3">
        <v>0.01</v>
      </c>
      <c r="I2" s="3">
        <v>0.02</v>
      </c>
      <c r="J2" s="3">
        <v>0.03</v>
      </c>
      <c r="K2" s="3">
        <v>0.04</v>
      </c>
      <c r="L2" s="3">
        <v>0.05</v>
      </c>
      <c r="M2" s="3">
        <v>0.06</v>
      </c>
      <c r="N2" s="3">
        <v>7.0000000000000007E-2</v>
      </c>
      <c r="O2" s="3">
        <v>0.08</v>
      </c>
      <c r="P2" s="3">
        <v>0.09</v>
      </c>
      <c r="Q2" s="3">
        <v>0.1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35">
      <c r="A3" s="1"/>
      <c r="B3" s="2" t="s">
        <v>2</v>
      </c>
      <c r="C3" s="2">
        <v>0.1</v>
      </c>
      <c r="D3" s="1"/>
      <c r="E3" s="1"/>
      <c r="F3" s="2" t="s">
        <v>3</v>
      </c>
      <c r="G3" s="3">
        <v>0.08</v>
      </c>
      <c r="H3" s="3">
        <v>7.5999999999999998E-2</v>
      </c>
      <c r="I3" s="3">
        <v>7.1999999999999995E-2</v>
      </c>
      <c r="J3" s="3">
        <v>6.8000000000000005E-2</v>
      </c>
      <c r="K3" s="3">
        <v>6.4000000000000001E-2</v>
      </c>
      <c r="L3" s="3">
        <v>0.06</v>
      </c>
      <c r="M3" s="3">
        <v>5.6000000000000001E-2</v>
      </c>
      <c r="N3" s="3">
        <v>5.1999999999999998E-2</v>
      </c>
      <c r="O3" s="3">
        <v>4.8000000000000001E-2</v>
      </c>
      <c r="P3" s="3">
        <v>4.3999999999999997E-2</v>
      </c>
      <c r="Q3" s="3">
        <v>0.04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35">
      <c r="A4" s="1"/>
      <c r="B4" s="2" t="s">
        <v>4</v>
      </c>
      <c r="C4" s="2">
        <v>0.01</v>
      </c>
      <c r="D4" s="1"/>
      <c r="E4" s="1"/>
      <c r="F4" s="2" t="s">
        <v>5</v>
      </c>
      <c r="G4" s="3">
        <f>(PI()*(2*G3)^2)/4</f>
        <v>2.0106192982974676E-2</v>
      </c>
      <c r="H4" s="3">
        <f t="shared" ref="H4:Q4" si="0">(PI()*(2*H3)^2)/4</f>
        <v>1.8145839167134643E-2</v>
      </c>
      <c r="I4" s="3">
        <f t="shared" si="0"/>
        <v>1.6286016316209486E-2</v>
      </c>
      <c r="J4" s="3">
        <f t="shared" si="0"/>
        <v>1.4526724430199206E-2</v>
      </c>
      <c r="K4" s="3">
        <f t="shared" si="0"/>
        <v>1.2867963509103792E-2</v>
      </c>
      <c r="L4" s="3">
        <f t="shared" si="0"/>
        <v>1.1309733552923255E-2</v>
      </c>
      <c r="M4" s="3">
        <f t="shared" si="0"/>
        <v>9.8520345616575928E-3</v>
      </c>
      <c r="N4" s="3">
        <f t="shared" si="0"/>
        <v>8.4948665353067991E-3</v>
      </c>
      <c r="O4" s="3">
        <f t="shared" si="0"/>
        <v>7.2382294738708832E-3</v>
      </c>
      <c r="P4" s="3">
        <f t="shared" si="0"/>
        <v>6.0821233773498389E-3</v>
      </c>
      <c r="Q4" s="3">
        <f t="shared" si="0"/>
        <v>5.0265482457436689E-3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35">
      <c r="A5" s="1"/>
      <c r="B5" s="1"/>
      <c r="C5" s="1"/>
      <c r="D5" s="1"/>
      <c r="E5" s="1"/>
      <c r="F5" s="2" t="s">
        <v>6</v>
      </c>
      <c r="G5" s="3">
        <v>42.000451991155728</v>
      </c>
      <c r="H5" s="3">
        <v>46.626595272829071</v>
      </c>
      <c r="I5" s="3">
        <v>52.081877649149817</v>
      </c>
      <c r="J5" s="3">
        <v>58.586763943984593</v>
      </c>
      <c r="K5" s="3">
        <v>66.446188532099072</v>
      </c>
      <c r="L5" s="3">
        <v>76.09649920622158</v>
      </c>
      <c r="M5" s="3">
        <v>88.190950292471598</v>
      </c>
      <c r="N5" s="3">
        <v>103.77206506908624</v>
      </c>
      <c r="O5" s="3">
        <v>124.67528025763023</v>
      </c>
      <c r="P5" s="3">
        <v>154.73844887467308</v>
      </c>
      <c r="Q5" s="3">
        <v>205.87819407849855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5">
      <c r="A6" s="1"/>
      <c r="B6" s="4" t="s">
        <v>7</v>
      </c>
      <c r="C6" s="4">
        <v>1.4</v>
      </c>
      <c r="D6" s="1"/>
      <c r="E6" s="1"/>
      <c r="F6" s="2" t="s">
        <v>8</v>
      </c>
      <c r="G6" s="3">
        <v>133570.96687251126</v>
      </c>
      <c r="H6" s="3">
        <v>133222.15589841644</v>
      </c>
      <c r="I6" s="3">
        <v>132763.85535691844</v>
      </c>
      <c r="J6" s="3">
        <v>132151.19473360103</v>
      </c>
      <c r="K6" s="3">
        <v>131315.53608934904</v>
      </c>
      <c r="L6" s="3">
        <v>130148.08961662126</v>
      </c>
      <c r="M6" s="3">
        <v>128468.47979342083</v>
      </c>
      <c r="N6" s="3">
        <v>125958.96206231382</v>
      </c>
      <c r="O6" s="3">
        <v>122007.76062664401</v>
      </c>
      <c r="P6" s="3">
        <v>115244.93718315283</v>
      </c>
      <c r="Q6" s="3">
        <v>101325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5">
      <c r="A7" s="1"/>
      <c r="B7" s="4" t="s">
        <v>3</v>
      </c>
      <c r="C7" s="4">
        <v>286.97199999999998</v>
      </c>
      <c r="D7" s="1"/>
      <c r="E7" s="1"/>
      <c r="F7" s="2" t="s">
        <v>9</v>
      </c>
      <c r="G7" s="3">
        <v>1.6201840935228695</v>
      </c>
      <c r="H7" s="3">
        <v>1.6171019878007562</v>
      </c>
      <c r="I7" s="3">
        <v>1.6130451564742101</v>
      </c>
      <c r="J7" s="3">
        <v>1.6076101920585901</v>
      </c>
      <c r="K7" s="3">
        <v>1.6001771862887879</v>
      </c>
      <c r="L7" s="3">
        <v>1.5897578900731533</v>
      </c>
      <c r="M7" s="3">
        <v>1.5747013703479937</v>
      </c>
      <c r="N7" s="3">
        <v>1.55206987715286</v>
      </c>
      <c r="O7" s="3">
        <v>1.5161274780584724</v>
      </c>
      <c r="P7" s="3">
        <v>1.4537678315893183</v>
      </c>
      <c r="Q7" s="3">
        <v>1.3221123600710507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5">
      <c r="A8" s="1"/>
      <c r="B8" s="4" t="s">
        <v>10</v>
      </c>
      <c r="C8" s="4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5">
      <c r="A10" s="1"/>
      <c r="B10" s="5" t="s">
        <v>11</v>
      </c>
      <c r="C10" s="5">
        <v>135000</v>
      </c>
      <c r="D10" s="1"/>
      <c r="E10" s="1"/>
      <c r="F10" s="6" t="s">
        <v>12</v>
      </c>
      <c r="G10" s="6">
        <f>G4*G7*G13</f>
        <v>1.3681955455551302</v>
      </c>
      <c r="H10" s="6">
        <f>H4*H7*H13</f>
        <v>1.3681955370253505</v>
      </c>
      <c r="I10" s="6">
        <f t="shared" ref="I10:Q10" si="1">I4*I7*I13</f>
        <v>1.3681950748270444</v>
      </c>
      <c r="J10" s="6">
        <f t="shared" si="1"/>
        <v>1.3681948745985053</v>
      </c>
      <c r="K10" s="6">
        <f t="shared" si="1"/>
        <v>1.3681949079583742</v>
      </c>
      <c r="L10" s="6">
        <f t="shared" si="1"/>
        <v>1.3681951330269688</v>
      </c>
      <c r="M10" s="6">
        <f t="shared" si="1"/>
        <v>1.3681954931923397</v>
      </c>
      <c r="N10" s="6">
        <f t="shared" si="1"/>
        <v>1.3681959178297924</v>
      </c>
      <c r="O10" s="6">
        <f t="shared" si="1"/>
        <v>1.3681963267281165</v>
      </c>
      <c r="P10" s="6">
        <f t="shared" si="1"/>
        <v>1.3681966407073627</v>
      </c>
      <c r="Q10" s="6">
        <f t="shared" si="1"/>
        <v>1.3681968013461125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5">
      <c r="A11" s="1"/>
      <c r="B11" s="5" t="s">
        <v>13</v>
      </c>
      <c r="C11" s="5">
        <v>288.16000000000003</v>
      </c>
      <c r="D11" s="1"/>
      <c r="E11" s="1"/>
      <c r="F11" s="6" t="s">
        <v>14</v>
      </c>
      <c r="G11" s="6">
        <v>0</v>
      </c>
      <c r="H11" s="6">
        <f>H13*(H10-I10)</f>
        <v>2.1550733218681651E-5</v>
      </c>
      <c r="I11" s="6">
        <f t="shared" ref="I11:P11" si="2">I13*(I10-J10)</f>
        <v>1.0428278244816543E-5</v>
      </c>
      <c r="J11" s="6">
        <f t="shared" si="2"/>
        <v>-1.9544467619606103E-6</v>
      </c>
      <c r="K11" s="6">
        <f t="shared" si="2"/>
        <v>-1.4954950293715002E-5</v>
      </c>
      <c r="L11" s="6">
        <f t="shared" si="2"/>
        <v>-2.7407323920672034E-5</v>
      </c>
      <c r="M11" s="6">
        <f t="shared" si="2"/>
        <v>-3.7449180581540207E-5</v>
      </c>
      <c r="N11" s="6">
        <f t="shared" si="2"/>
        <v>-4.2432223584669004E-5</v>
      </c>
      <c r="O11" s="6">
        <f t="shared" si="2"/>
        <v>-3.9145450566344568E-5</v>
      </c>
      <c r="P11" s="6">
        <f t="shared" si="2"/>
        <v>-2.4856990998498466E-5</v>
      </c>
      <c r="Q11" s="6">
        <v>0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5">
      <c r="A12" s="1"/>
      <c r="B12" s="5" t="s">
        <v>8</v>
      </c>
      <c r="C12" s="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5">
      <c r="A13" s="1"/>
      <c r="B13" s="1"/>
      <c r="C13" s="1"/>
      <c r="D13" s="1"/>
      <c r="E13" s="1"/>
      <c r="F13" s="2" t="s">
        <v>6</v>
      </c>
      <c r="G13" s="2">
        <f>(H5*H4*H7)/(G4*G7)</f>
        <v>42.000451727589777</v>
      </c>
      <c r="H13" s="2">
        <f>((G6-H6)/H7+G5*H5)^0.5</f>
        <v>46.626594982143573</v>
      </c>
      <c r="I13" s="2">
        <f t="shared" ref="I13:Q13" si="3">((H6-I6)/I7+H5*I5)^0.5</f>
        <v>52.081877501638424</v>
      </c>
      <c r="J13" s="2">
        <f t="shared" si="3"/>
        <v>58.586763926854289</v>
      </c>
      <c r="K13" s="2">
        <f t="shared" si="3"/>
        <v>66.446188625070704</v>
      </c>
      <c r="L13" s="2">
        <f t="shared" si="3"/>
        <v>76.09649938075907</v>
      </c>
      <c r="M13" s="2">
        <f t="shared" si="3"/>
        <v>88.190950511961972</v>
      </c>
      <c r="N13" s="2">
        <f t="shared" si="3"/>
        <v>103.77206529079589</v>
      </c>
      <c r="O13" s="2">
        <f t="shared" si="3"/>
        <v>124.67528043756363</v>
      </c>
      <c r="P13" s="2">
        <f t="shared" si="3"/>
        <v>154.73844897654826</v>
      </c>
      <c r="Q13" s="2">
        <f t="shared" si="3"/>
        <v>205.87819408655588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5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">
        <f>C10-(G7*G13^2)/2</f>
        <v>133570.96689030959</v>
      </c>
      <c r="H14" s="2">
        <f>H6+H11</f>
        <v>133222.15591996719</v>
      </c>
      <c r="I14" s="2">
        <f t="shared" ref="I14:Q14" si="4">I6+I11</f>
        <v>132763.85536734672</v>
      </c>
      <c r="J14" s="2">
        <f t="shared" si="4"/>
        <v>132151.1947316466</v>
      </c>
      <c r="K14" s="2">
        <f t="shared" si="4"/>
        <v>131315.5360743941</v>
      </c>
      <c r="L14" s="2">
        <f t="shared" si="4"/>
        <v>130148.08958921394</v>
      </c>
      <c r="M14" s="2">
        <f t="shared" si="4"/>
        <v>128468.47975597165</v>
      </c>
      <c r="N14" s="2">
        <f t="shared" si="4"/>
        <v>125958.9620198816</v>
      </c>
      <c r="O14" s="2">
        <f t="shared" si="4"/>
        <v>122007.76058749856</v>
      </c>
      <c r="P14" s="2">
        <f t="shared" si="4"/>
        <v>115244.93715829584</v>
      </c>
      <c r="Q14" s="2">
        <f t="shared" si="4"/>
        <v>101325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5">
      <c r="A15" s="1"/>
      <c r="B15" s="1"/>
      <c r="C15" s="1"/>
      <c r="D15" s="1"/>
      <c r="E15" s="1"/>
      <c r="F15" s="2" t="s">
        <v>9</v>
      </c>
      <c r="G15" s="2">
        <f>G14/($C$7*G17)</f>
        <v>1.6201840936766019</v>
      </c>
      <c r="H15" s="2">
        <f t="shared" ref="H15:Q15" si="5">H14/($C$7*H17)</f>
        <v>1.6171019879863344</v>
      </c>
      <c r="I15" s="2">
        <f t="shared" si="5"/>
        <v>1.613045156557892</v>
      </c>
      <c r="J15" s="2">
        <f t="shared" si="5"/>
        <v>1.6076101920292072</v>
      </c>
      <c r="K15" s="2">
        <f t="shared" si="5"/>
        <v>1.6001771861409675</v>
      </c>
      <c r="L15" s="2">
        <f t="shared" si="5"/>
        <v>1.5897578898120635</v>
      </c>
      <c r="M15" s="2">
        <f t="shared" si="5"/>
        <v>1.5747013699957118</v>
      </c>
      <c r="N15" s="2">
        <f t="shared" si="5"/>
        <v>1.5520698767557253</v>
      </c>
      <c r="O15" s="2">
        <f t="shared" si="5"/>
        <v>1.5161274776927882</v>
      </c>
      <c r="P15" s="2">
        <f t="shared" si="5"/>
        <v>1.4537678313583555</v>
      </c>
      <c r="Q15" s="2">
        <f t="shared" si="5"/>
        <v>1.3221123600792271</v>
      </c>
      <c r="R15" s="2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35">
      <c r="A17" s="1"/>
      <c r="B17" s="1"/>
      <c r="C17" s="1"/>
      <c r="D17" s="1"/>
      <c r="E17" s="1"/>
      <c r="F17" s="2" t="s">
        <v>16</v>
      </c>
      <c r="G17" s="2">
        <f>$C$11-(G13^2)/(2*$C$8)</f>
        <v>287.28184490973638</v>
      </c>
      <c r="H17" s="2">
        <f t="shared" ref="H17:Q17" si="6">$C$11-(H13^2)/(2*$C$8)</f>
        <v>287.07774225426681</v>
      </c>
      <c r="I17" s="2">
        <f t="shared" si="6"/>
        <v>286.8096804240862</v>
      </c>
      <c r="J17" s="2">
        <f t="shared" si="6"/>
        <v>286.45131376572039</v>
      </c>
      <c r="K17" s="2">
        <f t="shared" si="6"/>
        <v>285.96212266885783</v>
      </c>
      <c r="L17" s="2">
        <f t="shared" si="6"/>
        <v>285.27734507267729</v>
      </c>
      <c r="M17" s="2">
        <f t="shared" si="6"/>
        <v>284.28821398237591</v>
      </c>
      <c r="N17" s="2">
        <f t="shared" si="6"/>
        <v>282.79926646021647</v>
      </c>
      <c r="O17" s="2">
        <f t="shared" si="6"/>
        <v>280.42208405406956</v>
      </c>
      <c r="P17" s="2">
        <f t="shared" si="6"/>
        <v>276.24045221442265</v>
      </c>
      <c r="Q17" s="2">
        <f t="shared" si="6"/>
        <v>267.05992493013662</v>
      </c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35">
      <c r="A18" s="1"/>
      <c r="B18" s="1"/>
      <c r="C18" s="1"/>
      <c r="D18" s="1"/>
      <c r="E18" s="1"/>
      <c r="F18" s="2" t="s">
        <v>17</v>
      </c>
      <c r="G18" s="2">
        <f>SQRT($C$7*$C$6*G17)</f>
        <v>339.73310677120003</v>
      </c>
      <c r="H18" s="2">
        <f t="shared" ref="H18:Q18" si="7">SQRT($C$7*$C$6*H17)</f>
        <v>339.61240170268815</v>
      </c>
      <c r="I18" s="2">
        <f t="shared" si="7"/>
        <v>339.45380636387802</v>
      </c>
      <c r="J18" s="2">
        <f t="shared" si="7"/>
        <v>339.24166751678194</v>
      </c>
      <c r="K18" s="2">
        <f t="shared" si="7"/>
        <v>338.95187147018152</v>
      </c>
      <c r="L18" s="2">
        <f t="shared" si="7"/>
        <v>338.5457936207078</v>
      </c>
      <c r="M18" s="2">
        <f t="shared" si="7"/>
        <v>337.95837063184354</v>
      </c>
      <c r="N18" s="2">
        <f t="shared" si="7"/>
        <v>337.07218742054312</v>
      </c>
      <c r="O18" s="2">
        <f t="shared" si="7"/>
        <v>335.65250010573465</v>
      </c>
      <c r="P18" s="2">
        <f t="shared" si="7"/>
        <v>333.14048849401087</v>
      </c>
      <c r="Q18" s="2">
        <f t="shared" si="7"/>
        <v>327.55794767929478</v>
      </c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35">
      <c r="A19" s="1"/>
      <c r="B19" s="1"/>
      <c r="C19" s="1"/>
      <c r="D19" s="1"/>
      <c r="E19" s="1"/>
      <c r="F19" s="2" t="s">
        <v>18</v>
      </c>
      <c r="G19" s="2">
        <f>G13/G18</f>
        <v>0.12362778572497443</v>
      </c>
      <c r="H19" s="2">
        <f t="shared" ref="H19:Q19" si="8">H13/H18</f>
        <v>0.13729355803373333</v>
      </c>
      <c r="I19" s="2">
        <f t="shared" si="8"/>
        <v>0.15342846810151592</v>
      </c>
      <c r="J19" s="2">
        <f t="shared" si="8"/>
        <v>0.17269919805460235</v>
      </c>
      <c r="K19" s="2">
        <f t="shared" si="8"/>
        <v>0.19603428751363644</v>
      </c>
      <c r="L19" s="2">
        <f t="shared" si="8"/>
        <v>0.22477461192743198</v>
      </c>
      <c r="M19" s="2">
        <f t="shared" si="8"/>
        <v>0.26095211178548727</v>
      </c>
      <c r="N19" s="2">
        <f t="shared" si="8"/>
        <v>0.30786303101693235</v>
      </c>
      <c r="O19" s="2">
        <f t="shared" si="8"/>
        <v>0.37144153670325525</v>
      </c>
      <c r="P19" s="2">
        <f t="shared" si="8"/>
        <v>0.46448406699544753</v>
      </c>
      <c r="Q19" s="2">
        <f t="shared" si="8"/>
        <v>0.6285244963377502</v>
      </c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19</v>
      </c>
      <c r="R23" s="2" t="s">
        <v>1</v>
      </c>
      <c r="S23" s="3">
        <v>0</v>
      </c>
      <c r="T23" s="3">
        <v>0.01</v>
      </c>
      <c r="U23" s="3">
        <v>0.02</v>
      </c>
      <c r="V23" s="3">
        <v>0.03</v>
      </c>
      <c r="W23" s="3">
        <v>0.04</v>
      </c>
      <c r="X23" s="3">
        <v>0.05</v>
      </c>
      <c r="Y23" s="3">
        <v>0.06</v>
      </c>
      <c r="Z23" s="3">
        <v>7.0000000000000007E-2</v>
      </c>
      <c r="AA23" s="3">
        <v>0.08</v>
      </c>
      <c r="AB23" s="3">
        <v>0.09</v>
      </c>
      <c r="AC23" s="3">
        <v>0.1</v>
      </c>
    </row>
    <row r="24" spans="1:29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>
        <v>11</v>
      </c>
      <c r="R24" s="6" t="s">
        <v>18</v>
      </c>
      <c r="S24" s="9">
        <v>0.12364366646378178</v>
      </c>
      <c r="T24" s="9">
        <v>0.13731201324051395</v>
      </c>
      <c r="U24" s="9">
        <v>0.15349255620080748</v>
      </c>
      <c r="V24" s="9">
        <v>0.17280990400705001</v>
      </c>
      <c r="W24" s="9">
        <v>0.19619085101237524</v>
      </c>
      <c r="X24" s="9">
        <v>0.22497253739749787</v>
      </c>
      <c r="Y24" s="9">
        <v>0.26118007902363699</v>
      </c>
      <c r="Z24" s="9">
        <v>0.30809891073411766</v>
      </c>
      <c r="AA24" s="9">
        <v>0.37164937795050523</v>
      </c>
      <c r="AB24" s="9">
        <v>0.46461770266744667</v>
      </c>
      <c r="AC24" s="9">
        <v>0.62854874458481791</v>
      </c>
    </row>
    <row r="25" spans="1:29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>
        <v>15</v>
      </c>
      <c r="R25" s="6" t="s">
        <v>18</v>
      </c>
      <c r="S25" s="9">
        <v>0.1228993592870711</v>
      </c>
      <c r="T25" s="9">
        <v>0.13648589758595814</v>
      </c>
      <c r="U25" s="9">
        <v>0.15281321508078149</v>
      </c>
      <c r="V25" s="9">
        <v>0.17225016370392007</v>
      </c>
      <c r="W25" s="9">
        <v>0.19574270178482664</v>
      </c>
      <c r="X25" s="9">
        <v>0.22463945514786313</v>
      </c>
      <c r="Y25" s="9">
        <v>0.26098008986788335</v>
      </c>
      <c r="Z25" s="9">
        <v>0.30807022582799926</v>
      </c>
      <c r="AA25" s="9">
        <v>0.37184194529711456</v>
      </c>
      <c r="AB25" s="9">
        <v>0.46499267506674302</v>
      </c>
      <c r="AC25" s="9">
        <v>0.62852605579779153</v>
      </c>
    </row>
    <row r="26" spans="1:29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>
        <v>25</v>
      </c>
      <c r="R26" s="6" t="s">
        <v>18</v>
      </c>
      <c r="S26" s="9">
        <v>0.12317292189712456</v>
      </c>
      <c r="T26" s="9">
        <v>0.13678940576926363</v>
      </c>
      <c r="U26" s="9">
        <v>0.15305622694152024</v>
      </c>
      <c r="V26" s="9">
        <v>0.17245070163393303</v>
      </c>
      <c r="W26" s="9">
        <v>0.19590863867447925</v>
      </c>
      <c r="X26" s="9">
        <v>0.22477543241441442</v>
      </c>
      <c r="Y26" s="9">
        <v>0.26108674384705055</v>
      </c>
      <c r="Z26" s="9">
        <v>0.30813747179905571</v>
      </c>
      <c r="AA26" s="9">
        <v>0.37183657098331291</v>
      </c>
      <c r="AB26" s="9">
        <v>0.46487963591740417</v>
      </c>
      <c r="AC26" s="9">
        <v>0.62853909826337495</v>
      </c>
    </row>
    <row r="27" spans="1:29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>
        <v>35</v>
      </c>
      <c r="R27" s="6" t="s">
        <v>18</v>
      </c>
      <c r="S27" s="6">
        <v>0.12331353427686946</v>
      </c>
      <c r="T27" s="6">
        <v>0.13694548117319427</v>
      </c>
      <c r="U27" s="6">
        <v>0.1531850948209158</v>
      </c>
      <c r="V27" s="6">
        <v>0.17255831169291427</v>
      </c>
      <c r="W27" s="6">
        <v>0.19599775148270832</v>
      </c>
      <c r="X27" s="6">
        <v>0.22484679141929298</v>
      </c>
      <c r="Y27" s="6">
        <v>0.26113760884778553</v>
      </c>
      <c r="Z27" s="6">
        <v>0.30815859467917023</v>
      </c>
      <c r="AA27" s="6">
        <v>0.37181235405470142</v>
      </c>
      <c r="AB27" s="6">
        <v>0.46481244556742846</v>
      </c>
      <c r="AC27" s="6">
        <v>0.62854451784960175</v>
      </c>
    </row>
    <row r="28" spans="1:29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>
        <v>55</v>
      </c>
      <c r="R28" s="6" t="s">
        <v>18</v>
      </c>
      <c r="S28" s="6">
        <v>0.12338533650877212</v>
      </c>
      <c r="T28" s="6">
        <v>0.13702519631059187</v>
      </c>
      <c r="U28" s="6">
        <v>0.15325183497574918</v>
      </c>
      <c r="V28" s="6">
        <v>0.17261423598688572</v>
      </c>
      <c r="W28" s="6">
        <v>0.19604368319064908</v>
      </c>
      <c r="X28" s="6">
        <v>0.22488229297638457</v>
      </c>
      <c r="Y28" s="6">
        <v>0.2611601583342093</v>
      </c>
      <c r="Z28" s="6">
        <v>0.30816276577305307</v>
      </c>
      <c r="AA28" s="6">
        <v>0.37179214825364404</v>
      </c>
      <c r="AB28" s="6">
        <v>0.46477526277449138</v>
      </c>
      <c r="AC28" s="6">
        <v>0.62854675103859248</v>
      </c>
    </row>
    <row r="29" spans="1:29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>
        <v>65</v>
      </c>
      <c r="R29" s="6" t="s">
        <v>18</v>
      </c>
      <c r="S29" s="6">
        <v>0.12343693132055605</v>
      </c>
      <c r="T29" s="6">
        <v>0.13708248291131103</v>
      </c>
      <c r="U29" s="6">
        <v>0.15330010864534113</v>
      </c>
      <c r="V29" s="6">
        <v>0.17265464383091164</v>
      </c>
      <c r="W29" s="6">
        <v>0.19607646576375051</v>
      </c>
      <c r="X29" s="6">
        <v>0.22490667717276436</v>
      </c>
      <c r="Y29" s="6">
        <v>0.26117384345994232</v>
      </c>
      <c r="Z29" s="6">
        <v>0.30816181332891041</v>
      </c>
      <c r="AA29" s="6">
        <v>0.37177359818792283</v>
      </c>
      <c r="AB29" s="6">
        <v>0.46474716857460086</v>
      </c>
      <c r="AC29" s="6">
        <v>0.62854805309021999</v>
      </c>
    </row>
    <row r="30" spans="1:29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>
        <v>105</v>
      </c>
      <c r="R30" s="6" t="s">
        <v>18</v>
      </c>
      <c r="S30" s="6">
        <v>0.12346664023009729</v>
      </c>
      <c r="T30" s="6">
        <v>0.13711547086333609</v>
      </c>
      <c r="U30" s="6">
        <v>0.15332799073706499</v>
      </c>
      <c r="V30" s="6">
        <v>0.17267790991010989</v>
      </c>
      <c r="W30" s="6">
        <v>0.19609508938756198</v>
      </c>
      <c r="X30" s="6">
        <v>0.22492001367272005</v>
      </c>
      <c r="Y30" s="6">
        <v>0.26118039763184719</v>
      </c>
      <c r="Z30" s="6">
        <v>0.30815939596238173</v>
      </c>
      <c r="AA30" s="6">
        <v>0.37176116182948887</v>
      </c>
      <c r="AB30" s="6">
        <v>0.46473041071349941</v>
      </c>
      <c r="AC30" s="6">
        <v>0.62854866186094949</v>
      </c>
    </row>
    <row r="31" spans="1:29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inniatulin">
                <anchor moveWithCells="1" sizeWithCells="1">
                  <from>
                    <xdr:col>1</xdr:col>
                    <xdr:colOff>419100</xdr:colOff>
                    <xdr:row>15</xdr:row>
                    <xdr:rowOff>184150</xdr:rowOff>
                  </from>
                  <to>
                    <xdr:col>4</xdr:col>
                    <xdr:colOff>31750</xdr:colOff>
                    <xdr:row>18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D11ED-5F19-4184-9E33-829B623C73AC}">
  <sheetPr codeName="Лист3"/>
  <dimension ref="A1:X26"/>
  <sheetViews>
    <sheetView workbookViewId="0">
      <selection activeCell="R50" sqref="R50"/>
    </sheetView>
  </sheetViews>
  <sheetFormatPr defaultRowHeight="14.5" x14ac:dyDescent="0.35"/>
  <cols>
    <col min="3" max="3" width="11.54296875" customWidth="1"/>
    <col min="7" max="7" width="10.08984375" customWidth="1"/>
    <col min="8" max="17" width="11.26953125" bestFit="1" customWidth="1"/>
    <col min="23" max="23" width="11" customWidth="1"/>
    <col min="24" max="24" width="11.453125" customWidth="1"/>
  </cols>
  <sheetData>
    <row r="1" spans="1:24" x14ac:dyDescent="0.35">
      <c r="A1" s="1"/>
      <c r="B1" s="1"/>
      <c r="C1" s="1"/>
      <c r="D1" s="1"/>
      <c r="E1" s="1"/>
      <c r="F1" s="2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1"/>
      <c r="S1" s="1"/>
      <c r="T1" s="1"/>
      <c r="U1" s="1"/>
      <c r="V1" s="1"/>
      <c r="W1" s="1"/>
      <c r="X1" s="1"/>
    </row>
    <row r="2" spans="1:24" x14ac:dyDescent="0.35">
      <c r="A2" s="1"/>
      <c r="B2" s="1"/>
      <c r="C2" s="1"/>
      <c r="D2" s="1"/>
      <c r="E2" s="1"/>
      <c r="F2" s="2" t="s">
        <v>1</v>
      </c>
      <c r="G2" s="3">
        <v>0</v>
      </c>
      <c r="H2" s="3">
        <v>0.01</v>
      </c>
      <c r="I2" s="3">
        <v>0.02</v>
      </c>
      <c r="J2" s="3">
        <v>0.03</v>
      </c>
      <c r="K2" s="3">
        <v>0.04</v>
      </c>
      <c r="L2" s="3">
        <v>0.05</v>
      </c>
      <c r="M2" s="3">
        <v>0.06</v>
      </c>
      <c r="N2" s="3">
        <v>7.0000000000000007E-2</v>
      </c>
      <c r="O2" s="3">
        <v>0.08</v>
      </c>
      <c r="P2" s="3">
        <v>0.09</v>
      </c>
      <c r="Q2" s="3">
        <v>0.1</v>
      </c>
      <c r="R2" s="1"/>
      <c r="S2" s="1"/>
      <c r="T2" s="1"/>
      <c r="U2" s="1"/>
      <c r="V2" s="1"/>
      <c r="W2" s="1"/>
      <c r="X2" s="1"/>
    </row>
    <row r="3" spans="1:24" x14ac:dyDescent="0.35">
      <c r="A3" s="1"/>
      <c r="B3" s="2" t="s">
        <v>2</v>
      </c>
      <c r="C3" s="2">
        <v>0.1</v>
      </c>
      <c r="D3" s="1"/>
      <c r="E3" s="1"/>
      <c r="F3" s="2" t="s">
        <v>3</v>
      </c>
      <c r="G3" s="3">
        <v>0.08</v>
      </c>
      <c r="H3" s="3">
        <v>7.5999999999999998E-2</v>
      </c>
      <c r="I3" s="3">
        <v>7.1999999999999995E-2</v>
      </c>
      <c r="J3" s="3">
        <v>6.8000000000000005E-2</v>
      </c>
      <c r="K3" s="3">
        <v>6.4000000000000001E-2</v>
      </c>
      <c r="L3" s="3">
        <v>0.06</v>
      </c>
      <c r="M3" s="3">
        <v>5.6000000000000001E-2</v>
      </c>
      <c r="N3" s="3">
        <v>5.1999999999999998E-2</v>
      </c>
      <c r="O3" s="3">
        <v>4.8000000000000001E-2</v>
      </c>
      <c r="P3" s="3">
        <v>4.3999999999999997E-2</v>
      </c>
      <c r="Q3" s="3">
        <v>0.04</v>
      </c>
      <c r="R3" s="1"/>
      <c r="S3" s="1"/>
      <c r="T3" s="1"/>
      <c r="U3" s="1"/>
      <c r="V3" s="1"/>
      <c r="W3" s="1"/>
      <c r="X3" s="1"/>
    </row>
    <row r="4" spans="1:24" x14ac:dyDescent="0.35">
      <c r="A4" s="1"/>
      <c r="B4" s="2" t="s">
        <v>4</v>
      </c>
      <c r="C4" s="2">
        <v>0.01</v>
      </c>
      <c r="D4" s="1"/>
      <c r="E4" s="1"/>
      <c r="F4" s="2" t="s">
        <v>5</v>
      </c>
      <c r="G4" s="3">
        <f>(PI()*(2*G3)^2)/4</f>
        <v>2.0106192982974676E-2</v>
      </c>
      <c r="H4" s="3">
        <f t="shared" ref="H4:Q4" si="0">(PI()*(2*H3)^2)/4</f>
        <v>1.8145839167134643E-2</v>
      </c>
      <c r="I4" s="3">
        <f t="shared" si="0"/>
        <v>1.6286016316209486E-2</v>
      </c>
      <c r="J4" s="3">
        <f t="shared" si="0"/>
        <v>1.4526724430199206E-2</v>
      </c>
      <c r="K4" s="3">
        <f t="shared" si="0"/>
        <v>1.2867963509103792E-2</v>
      </c>
      <c r="L4" s="3">
        <f t="shared" si="0"/>
        <v>1.1309733552923255E-2</v>
      </c>
      <c r="M4" s="3">
        <f t="shared" si="0"/>
        <v>9.8520345616575928E-3</v>
      </c>
      <c r="N4" s="3">
        <f t="shared" si="0"/>
        <v>8.4948665353067991E-3</v>
      </c>
      <c r="O4" s="3">
        <f t="shared" si="0"/>
        <v>7.2382294738708832E-3</v>
      </c>
      <c r="P4" s="3">
        <f t="shared" si="0"/>
        <v>6.0821233773498389E-3</v>
      </c>
      <c r="Q4" s="3">
        <f t="shared" si="0"/>
        <v>5.0265482457436689E-3</v>
      </c>
      <c r="R4" s="1"/>
      <c r="S4" s="1"/>
      <c r="T4" s="1"/>
      <c r="U4" s="1"/>
      <c r="V4" s="1"/>
      <c r="W4" s="1"/>
      <c r="X4" s="1"/>
    </row>
    <row r="5" spans="1:24" x14ac:dyDescent="0.35">
      <c r="A5" s="1"/>
      <c r="B5" s="1"/>
      <c r="C5" s="1"/>
      <c r="D5" s="1"/>
      <c r="E5" s="1"/>
      <c r="F5" s="2" t="s">
        <v>6</v>
      </c>
      <c r="G5" s="3">
        <v>44.302853665092215</v>
      </c>
      <c r="H5" s="3">
        <v>49.193418658521011</v>
      </c>
      <c r="I5" s="3">
        <v>54.964602234417875</v>
      </c>
      <c r="J5" s="3">
        <v>61.853602596342633</v>
      </c>
      <c r="K5" s="3">
        <v>70.189813887526668</v>
      </c>
      <c r="L5" s="3">
        <v>80.448328672417901</v>
      </c>
      <c r="M5" s="3">
        <v>93.348781839574386</v>
      </c>
      <c r="N5" s="3">
        <v>110.06092001207743</v>
      </c>
      <c r="O5" s="3">
        <v>132.71008272076148</v>
      </c>
      <c r="P5" s="3">
        <v>166.03220948082955</v>
      </c>
      <c r="Q5" s="3">
        <v>422.95978015616896</v>
      </c>
      <c r="R5" s="1"/>
      <c r="S5" s="1"/>
      <c r="T5" s="1"/>
      <c r="U5" s="1"/>
      <c r="V5" s="1"/>
      <c r="W5" s="1"/>
      <c r="X5" s="1"/>
    </row>
    <row r="6" spans="1:24" x14ac:dyDescent="0.35">
      <c r="A6" s="1"/>
      <c r="B6" s="4" t="s">
        <v>7</v>
      </c>
      <c r="C6" s="4">
        <v>1.4</v>
      </c>
      <c r="D6" s="1"/>
      <c r="E6" s="1"/>
      <c r="F6" s="2" t="s">
        <v>8</v>
      </c>
      <c r="G6" s="3">
        <v>348845.97620227106</v>
      </c>
      <c r="H6" s="3">
        <v>347829.78038067668</v>
      </c>
      <c r="I6" s="3">
        <v>346493.67364619405</v>
      </c>
      <c r="J6" s="3">
        <v>344705.6426832932</v>
      </c>
      <c r="K6" s="3">
        <v>342263.10821493453</v>
      </c>
      <c r="L6" s="3">
        <v>338843.24034271052</v>
      </c>
      <c r="M6" s="3">
        <v>333906.36626178602</v>
      </c>
      <c r="N6" s="3">
        <v>326489.08149382402</v>
      </c>
      <c r="O6" s="3">
        <v>314691.66957783751</v>
      </c>
      <c r="P6" s="3">
        <v>294035.82224960573</v>
      </c>
      <c r="Q6" s="3">
        <v>101325</v>
      </c>
      <c r="R6" s="1"/>
      <c r="S6" s="1"/>
      <c r="T6" s="1"/>
      <c r="U6" s="1"/>
      <c r="V6" s="1"/>
      <c r="W6" s="1"/>
      <c r="X6" s="1"/>
    </row>
    <row r="7" spans="1:24" x14ac:dyDescent="0.35">
      <c r="A7" s="1"/>
      <c r="B7" s="4" t="s">
        <v>3</v>
      </c>
      <c r="C7" s="4">
        <v>286.97199999999998</v>
      </c>
      <c r="D7" s="1"/>
      <c r="E7" s="1"/>
      <c r="F7" s="2" t="s">
        <v>9</v>
      </c>
      <c r="G7" s="3">
        <v>4.2328762789193499</v>
      </c>
      <c r="H7" s="3">
        <v>4.2238937079605865</v>
      </c>
      <c r="I7" s="3">
        <v>4.2120610025080385</v>
      </c>
      <c r="J7" s="3">
        <v>4.1961896709261728</v>
      </c>
      <c r="K7" s="3">
        <v>4.1744469440832042</v>
      </c>
      <c r="L7" s="3">
        <v>4.1438937493013919</v>
      </c>
      <c r="M7" s="3">
        <v>4.099576380169756</v>
      </c>
      <c r="N7" s="3">
        <v>4.0325534352759433</v>
      </c>
      <c r="O7" s="3">
        <v>3.9249202147845192</v>
      </c>
      <c r="P7" s="3">
        <v>3.7335158761570937</v>
      </c>
      <c r="Q7" s="3">
        <v>1.7733576147039123</v>
      </c>
      <c r="R7" s="1"/>
      <c r="S7" s="1"/>
      <c r="T7" s="1"/>
      <c r="U7" s="1"/>
      <c r="V7" s="1"/>
      <c r="W7" s="1"/>
      <c r="X7" s="1"/>
    </row>
    <row r="8" spans="1:24" x14ac:dyDescent="0.35">
      <c r="A8" s="1"/>
      <c r="B8" s="4" t="s">
        <v>10</v>
      </c>
      <c r="C8" s="4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5">
      <c r="A10" s="1"/>
      <c r="B10" s="5" t="s">
        <v>11</v>
      </c>
      <c r="C10" s="5">
        <v>353000</v>
      </c>
      <c r="D10" s="1"/>
      <c r="E10" s="1"/>
      <c r="F10" s="6" t="s">
        <v>12</v>
      </c>
      <c r="G10" s="6">
        <f>G4*G7*G13</f>
        <v>3.7704834833492176</v>
      </c>
      <c r="H10" s="6">
        <f>H4*H7*H13</f>
        <v>3.7704827861928565</v>
      </c>
      <c r="I10" s="6">
        <f t="shared" ref="I10:Q10" si="1">I4*I7*I13</f>
        <v>3.7704443029799877</v>
      </c>
      <c r="J10" s="6">
        <f t="shared" si="1"/>
        <v>3.7704026917328619</v>
      </c>
      <c r="K10" s="6">
        <f t="shared" si="1"/>
        <v>3.7703597879081765</v>
      </c>
      <c r="L10" s="6">
        <f t="shared" si="1"/>
        <v>3.7703178132923676</v>
      </c>
      <c r="M10" s="6">
        <f t="shared" si="1"/>
        <v>3.7702793176820317</v>
      </c>
      <c r="N10" s="6">
        <f t="shared" si="1"/>
        <v>3.770247010931147</v>
      </c>
      <c r="O10" s="6">
        <f t="shared" si="1"/>
        <v>3.7702234166241535</v>
      </c>
      <c r="P10" s="6">
        <f t="shared" si="1"/>
        <v>3.7702102580249193</v>
      </c>
      <c r="Q10" s="6">
        <f t="shared" si="1"/>
        <v>3.770207478585947</v>
      </c>
      <c r="R10" s="1"/>
      <c r="S10" s="1"/>
      <c r="T10" s="1"/>
      <c r="U10" s="1"/>
      <c r="V10" s="1"/>
      <c r="W10" s="1"/>
      <c r="X10" s="1"/>
    </row>
    <row r="11" spans="1:24" x14ac:dyDescent="0.35">
      <c r="A11" s="1"/>
      <c r="B11" s="5" t="s">
        <v>13</v>
      </c>
      <c r="C11" s="5">
        <v>288.16000000000003</v>
      </c>
      <c r="D11" s="1"/>
      <c r="E11" s="1"/>
      <c r="F11" s="6" t="s">
        <v>14</v>
      </c>
      <c r="G11" s="6">
        <v>0</v>
      </c>
      <c r="H11" s="6">
        <f>H13*(H10-I10)</f>
        <v>1.8931204519454328E-3</v>
      </c>
      <c r="I11" s="6">
        <f t="shared" ref="I11:P11" si="2">I13*(I10-J10)</f>
        <v>2.2871452381620083E-3</v>
      </c>
      <c r="J11" s="6">
        <f t="shared" si="2"/>
        <v>2.6537556855147871E-3</v>
      </c>
      <c r="K11" s="6">
        <f t="shared" si="2"/>
        <v>2.9461900489344802E-3</v>
      </c>
      <c r="L11" s="6">
        <f t="shared" si="2"/>
        <v>3.0969071495356654E-3</v>
      </c>
      <c r="M11" s="6">
        <f t="shared" si="2"/>
        <v>3.0157955747563575E-3</v>
      </c>
      <c r="N11" s="6">
        <f t="shared" si="2"/>
        <v>2.596810982943678E-3</v>
      </c>
      <c r="O11" s="6">
        <f t="shared" si="2"/>
        <v>1.7462787376015677E-3</v>
      </c>
      <c r="P11" s="6">
        <f t="shared" si="2"/>
        <v>4.6147638868482065E-4</v>
      </c>
      <c r="Q11" s="6">
        <v>0</v>
      </c>
      <c r="R11" s="1"/>
      <c r="S11" s="1"/>
      <c r="T11" s="1"/>
      <c r="U11" s="1"/>
      <c r="V11" s="1"/>
      <c r="W11" s="1"/>
      <c r="X11" s="1"/>
    </row>
    <row r="12" spans="1:24" x14ac:dyDescent="0.35">
      <c r="A12" s="1"/>
      <c r="B12" s="5" t="s">
        <v>8</v>
      </c>
      <c r="C12" s="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5">
      <c r="A13" s="1"/>
      <c r="B13" s="1"/>
      <c r="C13" s="1"/>
      <c r="D13" s="1"/>
      <c r="E13" s="1"/>
      <c r="F13" s="2" t="s">
        <v>6</v>
      </c>
      <c r="G13" s="2">
        <f>(H5*H4*H7)/(G4*G7)</f>
        <v>44.30284550321322</v>
      </c>
      <c r="H13" s="2">
        <f>((G6-H6)/H7+G5*H5)^0.5</f>
        <v>49.19340956273664</v>
      </c>
      <c r="I13" s="2">
        <f t="shared" ref="I13:Q13" si="3">((H6-I6)/I7+H5*I5)^0.5</f>
        <v>54.964592415353287</v>
      </c>
      <c r="J13" s="2">
        <f t="shared" si="3"/>
        <v>61.853592423823649</v>
      </c>
      <c r="K13" s="2">
        <f t="shared" si="3"/>
        <v>70.189803817323011</v>
      </c>
      <c r="L13" s="2">
        <f t="shared" si="3"/>
        <v>80.448319237334232</v>
      </c>
      <c r="M13" s="2">
        <f t="shared" si="3"/>
        <v>93.348773620631661</v>
      </c>
      <c r="N13" s="2">
        <f t="shared" si="3"/>
        <v>110.06091357796059</v>
      </c>
      <c r="O13" s="2">
        <f t="shared" si="3"/>
        <v>132.71007852103145</v>
      </c>
      <c r="P13" s="2">
        <f t="shared" si="3"/>
        <v>166.03220768005494</v>
      </c>
      <c r="Q13" s="2">
        <f t="shared" si="3"/>
        <v>422.95977960371181</v>
      </c>
      <c r="R13" s="1"/>
      <c r="S13" s="1"/>
      <c r="T13" s="1"/>
      <c r="U13" s="1"/>
      <c r="V13" s="1"/>
      <c r="W13" s="1"/>
      <c r="X13" s="1"/>
    </row>
    <row r="14" spans="1:24" x14ac:dyDescent="0.35">
      <c r="A14" s="1"/>
      <c r="B14" s="2" t="s">
        <v>15</v>
      </c>
      <c r="C14" s="2">
        <v>1000</v>
      </c>
      <c r="D14" s="1">
        <v>1000</v>
      </c>
      <c r="E14" s="1"/>
      <c r="F14" s="2" t="s">
        <v>8</v>
      </c>
      <c r="G14" s="2">
        <f>C10-(G7*G13^2)/2</f>
        <v>348845.97771998198</v>
      </c>
      <c r="H14" s="2">
        <f>H6+H11</f>
        <v>347829.78227379714</v>
      </c>
      <c r="I14" s="2">
        <f t="shared" ref="I14:Q14" si="4">I6+I11</f>
        <v>346493.67593333928</v>
      </c>
      <c r="J14" s="2">
        <f t="shared" si="4"/>
        <v>344705.64533704892</v>
      </c>
      <c r="K14" s="2">
        <f t="shared" si="4"/>
        <v>342263.1111611246</v>
      </c>
      <c r="L14" s="2">
        <f t="shared" si="4"/>
        <v>338843.24343961768</v>
      </c>
      <c r="M14" s="2">
        <f t="shared" si="4"/>
        <v>333906.36927758157</v>
      </c>
      <c r="N14" s="2">
        <f t="shared" si="4"/>
        <v>326489.08409063501</v>
      </c>
      <c r="O14" s="2">
        <f t="shared" si="4"/>
        <v>314691.67132411624</v>
      </c>
      <c r="P14" s="2">
        <f t="shared" si="4"/>
        <v>294035.82271108212</v>
      </c>
      <c r="Q14" s="2">
        <f t="shared" si="4"/>
        <v>101325</v>
      </c>
      <c r="R14" s="1"/>
      <c r="S14" s="1"/>
      <c r="T14" s="1"/>
      <c r="U14" s="1"/>
      <c r="V14" s="1"/>
      <c r="W14" s="1"/>
      <c r="X14" s="1"/>
    </row>
    <row r="15" spans="1:24" x14ac:dyDescent="0.35">
      <c r="A15" s="1"/>
      <c r="B15" s="1"/>
      <c r="C15" s="1"/>
      <c r="D15" s="1"/>
      <c r="E15" s="1"/>
      <c r="F15" s="2" t="s">
        <v>9</v>
      </c>
      <c r="G15" s="2">
        <f>G14/($C$7*G17)</f>
        <v>4.2328762920288598</v>
      </c>
      <c r="H15" s="2">
        <f t="shared" ref="H15:Q15" si="5">H14/($C$7*H17)</f>
        <v>4.2238937243923065</v>
      </c>
      <c r="I15" s="2">
        <f t="shared" si="5"/>
        <v>4.2120610224156243</v>
      </c>
      <c r="J15" s="2">
        <f t="shared" si="5"/>
        <v>4.196189694047944</v>
      </c>
      <c r="K15" s="2">
        <f t="shared" si="5"/>
        <v>4.1744469697345865</v>
      </c>
      <c r="L15" s="2">
        <f t="shared" si="5"/>
        <v>4.1438937761846999</v>
      </c>
      <c r="M15" s="2">
        <f t="shared" si="5"/>
        <v>4.0995764061631217</v>
      </c>
      <c r="N15" s="2">
        <f t="shared" si="5"/>
        <v>4.0325534572724928</v>
      </c>
      <c r="O15" s="2">
        <f t="shared" si="5"/>
        <v>3.9249202287692535</v>
      </c>
      <c r="P15" s="2">
        <f t="shared" si="5"/>
        <v>3.7335158779670086</v>
      </c>
      <c r="Q15" s="2">
        <f t="shared" si="5"/>
        <v>1.7733576126318324</v>
      </c>
      <c r="R15" s="2"/>
      <c r="S15" s="1"/>
      <c r="T15" s="1"/>
      <c r="U15" s="1"/>
      <c r="V15" s="1"/>
      <c r="W15" s="1"/>
      <c r="X15" s="1"/>
    </row>
    <row r="16" spans="1:24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5">
      <c r="A17" s="1"/>
      <c r="B17" s="1"/>
      <c r="C17" s="1"/>
      <c r="D17" s="1"/>
      <c r="E17" s="1"/>
      <c r="F17" s="2" t="s">
        <v>16</v>
      </c>
      <c r="G17" s="2">
        <f>$C$11-(G13^2)/(2*$C$8)</f>
        <v>287.18292805670973</v>
      </c>
      <c r="H17" s="2">
        <f t="shared" ref="H17:Q17" si="6">$C$11-(H13^2)/(2*$C$8)</f>
        <v>286.95530488629674</v>
      </c>
      <c r="I17" s="2">
        <f t="shared" si="6"/>
        <v>286.65606410823085</v>
      </c>
      <c r="J17" s="2">
        <f t="shared" si="6"/>
        <v>286.25544658715029</v>
      </c>
      <c r="K17" s="2">
        <f t="shared" si="6"/>
        <v>285.70748677821871</v>
      </c>
      <c r="L17" s="2">
        <f t="shared" si="6"/>
        <v>284.93820984263641</v>
      </c>
      <c r="M17" s="2">
        <f t="shared" si="6"/>
        <v>283.82209003560541</v>
      </c>
      <c r="N17" s="2">
        <f t="shared" si="6"/>
        <v>282.12983039744364</v>
      </c>
      <c r="O17" s="2">
        <f t="shared" si="6"/>
        <v>279.39259411536324</v>
      </c>
      <c r="P17" s="2">
        <f t="shared" si="6"/>
        <v>274.43703405659454</v>
      </c>
      <c r="Q17" s="2">
        <f t="shared" si="6"/>
        <v>199.10435724690342</v>
      </c>
      <c r="R17" s="1"/>
      <c r="S17" s="1"/>
      <c r="T17" s="1"/>
      <c r="U17" s="1"/>
      <c r="V17" s="1"/>
      <c r="W17" s="1"/>
      <c r="X17" s="1"/>
    </row>
    <row r="18" spans="1:24" x14ac:dyDescent="0.35">
      <c r="A18" s="1"/>
      <c r="B18" s="1"/>
      <c r="C18" s="1"/>
      <c r="D18" s="1"/>
      <c r="E18" s="1"/>
      <c r="F18" s="2" t="s">
        <v>17</v>
      </c>
      <c r="G18" s="2">
        <f>SQRT($C$7*$C$6*G17)</f>
        <v>339.67461330279917</v>
      </c>
      <c r="H18" s="2">
        <f t="shared" ref="H18:Q18" si="7">SQRT($C$7*$C$6*H17)</f>
        <v>339.53997239701022</v>
      </c>
      <c r="I18" s="2">
        <f t="shared" si="7"/>
        <v>339.36288783686132</v>
      </c>
      <c r="J18" s="2">
        <f t="shared" si="7"/>
        <v>339.12566583084026</v>
      </c>
      <c r="K18" s="2">
        <f t="shared" si="7"/>
        <v>338.80092746922423</v>
      </c>
      <c r="L18" s="2">
        <f t="shared" si="7"/>
        <v>338.3445036304646</v>
      </c>
      <c r="M18" s="2">
        <f t="shared" si="7"/>
        <v>337.68119573108726</v>
      </c>
      <c r="N18" s="2">
        <f t="shared" si="7"/>
        <v>336.6729961911725</v>
      </c>
      <c r="O18" s="2">
        <f t="shared" si="7"/>
        <v>335.03580722941183</v>
      </c>
      <c r="P18" s="2">
        <f t="shared" si="7"/>
        <v>332.05126464479042</v>
      </c>
      <c r="Q18" s="2">
        <f t="shared" si="7"/>
        <v>282.82914604227358</v>
      </c>
      <c r="R18" s="1"/>
      <c r="S18" s="1"/>
      <c r="T18" s="1"/>
      <c r="U18" s="1"/>
      <c r="V18" s="1"/>
      <c r="W18" s="1"/>
      <c r="X18" s="1"/>
    </row>
    <row r="19" spans="1:24" x14ac:dyDescent="0.35">
      <c r="A19" s="1"/>
      <c r="B19" s="1"/>
      <c r="C19" s="1"/>
      <c r="D19" s="1"/>
      <c r="E19" s="1"/>
      <c r="F19" s="2" t="s">
        <v>18</v>
      </c>
      <c r="G19" s="2">
        <f>G13/G18</f>
        <v>0.13042730827728929</v>
      </c>
      <c r="H19" s="2">
        <f t="shared" ref="H19:Q19" si="8">H13/H18</f>
        <v>0.1448825280141591</v>
      </c>
      <c r="I19" s="2">
        <f t="shared" si="8"/>
        <v>0.16196406379526063</v>
      </c>
      <c r="J19" s="2">
        <f t="shared" si="8"/>
        <v>0.18239136301372402</v>
      </c>
      <c r="K19" s="2">
        <f t="shared" si="8"/>
        <v>0.20717122689606232</v>
      </c>
      <c r="L19" s="2">
        <f t="shared" si="8"/>
        <v>0.23777043331313821</v>
      </c>
      <c r="M19" s="2">
        <f t="shared" si="8"/>
        <v>0.27644054451575101</v>
      </c>
      <c r="N19" s="2">
        <f t="shared" si="8"/>
        <v>0.32690745864115839</v>
      </c>
      <c r="O19" s="2">
        <f t="shared" si="8"/>
        <v>0.39610714931780344</v>
      </c>
      <c r="P19" s="2">
        <f t="shared" si="8"/>
        <v>0.50001980223646114</v>
      </c>
      <c r="Q19" s="2">
        <f t="shared" si="8"/>
        <v>1.4954603707656542</v>
      </c>
      <c r="R19" s="1"/>
      <c r="S19" s="1"/>
      <c r="T19" s="1"/>
      <c r="U19" s="1"/>
      <c r="V19" s="1"/>
      <c r="W19" s="1"/>
      <c r="X19" s="1"/>
    </row>
    <row r="20" spans="1:24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2" t="s">
        <v>20</v>
      </c>
      <c r="S23" s="15"/>
      <c r="T23" s="16"/>
      <c r="U23" s="16"/>
      <c r="V23" s="16"/>
      <c r="W23" s="16"/>
      <c r="X23" s="16"/>
    </row>
    <row r="24" spans="1:24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" t="s">
        <v>1</v>
      </c>
      <c r="S24" s="9">
        <v>0</v>
      </c>
      <c r="T24" s="9">
        <v>2.5000000000000001E-2</v>
      </c>
      <c r="U24" s="9">
        <v>0.05</v>
      </c>
      <c r="V24" s="9">
        <v>7.4999999999999997E-2</v>
      </c>
      <c r="W24" s="3">
        <v>8.5000000000000006E-2</v>
      </c>
      <c r="X24" s="9">
        <v>0.1</v>
      </c>
    </row>
    <row r="25" spans="1:24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2" t="s">
        <v>8</v>
      </c>
      <c r="S25" s="14">
        <v>345199</v>
      </c>
      <c r="T25" s="14">
        <v>340985.59999999998</v>
      </c>
      <c r="U25" s="14">
        <v>330458.09999999998</v>
      </c>
      <c r="V25" s="14">
        <v>303106.3</v>
      </c>
      <c r="W25" s="2">
        <v>274886.5</v>
      </c>
      <c r="X25" s="2">
        <v>169044.1</v>
      </c>
    </row>
    <row r="26" spans="1:24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2" t="s">
        <v>6</v>
      </c>
      <c r="S26" s="14">
        <v>59.260750000000002</v>
      </c>
      <c r="T26" s="14">
        <v>75.040980000000005</v>
      </c>
      <c r="U26" s="14">
        <v>103.6818</v>
      </c>
      <c r="V26" s="14">
        <v>156.67660000000001</v>
      </c>
      <c r="W26" s="2">
        <v>199.47919999999999</v>
      </c>
      <c r="X26" s="14">
        <v>333.14179999999999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inniatulin">
                <anchor moveWithCells="1" sizeWithCells="1">
                  <from>
                    <xdr:col>1</xdr:col>
                    <xdr:colOff>419100</xdr:colOff>
                    <xdr:row>15</xdr:row>
                    <xdr:rowOff>184150</xdr:rowOff>
                  </from>
                  <to>
                    <xdr:col>4</xdr:col>
                    <xdr:colOff>31750</xdr:colOff>
                    <xdr:row>18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9748-AAA7-4CC1-AA43-DDBB923F8045}">
  <sheetPr codeName="Лист4"/>
  <dimension ref="A1:X27"/>
  <sheetViews>
    <sheetView workbookViewId="0">
      <selection activeCell="G22" sqref="G22"/>
    </sheetView>
  </sheetViews>
  <sheetFormatPr defaultRowHeight="14.5" x14ac:dyDescent="0.35"/>
  <cols>
    <col min="3" max="3" width="11.6328125" customWidth="1"/>
    <col min="7" max="17" width="9.26953125" bestFit="1" customWidth="1"/>
    <col min="23" max="23" width="10.7265625" customWidth="1"/>
    <col min="24" max="24" width="9.36328125" customWidth="1"/>
  </cols>
  <sheetData>
    <row r="1" spans="1:24" x14ac:dyDescent="0.35">
      <c r="A1" s="1"/>
      <c r="B1" s="1"/>
      <c r="C1" s="1"/>
      <c r="D1" s="1"/>
      <c r="E1" s="1"/>
      <c r="F1" s="2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1"/>
      <c r="S1" s="1"/>
      <c r="T1" s="1"/>
      <c r="U1" s="1"/>
      <c r="V1" s="1"/>
      <c r="W1" s="1"/>
      <c r="X1" s="1"/>
    </row>
    <row r="2" spans="1:24" x14ac:dyDescent="0.35">
      <c r="A2" s="1"/>
      <c r="B2" s="1"/>
      <c r="C2" s="1"/>
      <c r="D2" s="1"/>
      <c r="E2" s="1"/>
      <c r="F2" s="2" t="s">
        <v>1</v>
      </c>
      <c r="G2" s="3">
        <v>0</v>
      </c>
      <c r="H2" s="3">
        <v>0.01</v>
      </c>
      <c r="I2" s="3">
        <v>0.02</v>
      </c>
      <c r="J2" s="3">
        <v>0.03</v>
      </c>
      <c r="K2" s="3">
        <v>0.04</v>
      </c>
      <c r="L2" s="3">
        <v>0.05</v>
      </c>
      <c r="M2" s="3">
        <v>0.06</v>
      </c>
      <c r="N2" s="3">
        <v>7.0000000000000007E-2</v>
      </c>
      <c r="O2" s="3">
        <v>0.08</v>
      </c>
      <c r="P2" s="3">
        <v>0.09</v>
      </c>
      <c r="Q2" s="3">
        <v>0.1</v>
      </c>
      <c r="R2" s="1"/>
      <c r="S2" s="1"/>
      <c r="T2" s="1"/>
      <c r="U2" s="1"/>
      <c r="V2" s="1"/>
      <c r="W2" s="1"/>
      <c r="X2" s="1"/>
    </row>
    <row r="3" spans="1:24" x14ac:dyDescent="0.35">
      <c r="A3" s="1"/>
      <c r="B3" s="2" t="s">
        <v>2</v>
      </c>
      <c r="C3" s="2">
        <v>0.1</v>
      </c>
      <c r="D3" s="1"/>
      <c r="E3" s="1"/>
      <c r="F3" s="2" t="s">
        <v>3</v>
      </c>
      <c r="G3" s="3">
        <v>0.08</v>
      </c>
      <c r="H3" s="3">
        <v>7.5999999999999998E-2</v>
      </c>
      <c r="I3" s="3">
        <v>7.1999999999999995E-2</v>
      </c>
      <c r="J3" s="3">
        <v>6.8000000000000005E-2</v>
      </c>
      <c r="K3" s="3">
        <v>6.4000000000000001E-2</v>
      </c>
      <c r="L3" s="3">
        <v>0.06</v>
      </c>
      <c r="M3" s="3">
        <v>5.6000000000000001E-2</v>
      </c>
      <c r="N3" s="3">
        <v>5.1999999999999998E-2</v>
      </c>
      <c r="O3" s="3">
        <v>4.8000000000000001E-2</v>
      </c>
      <c r="P3" s="3">
        <v>4.3999999999999997E-2</v>
      </c>
      <c r="Q3" s="3">
        <v>0.04</v>
      </c>
      <c r="R3" s="1"/>
      <c r="S3" s="1"/>
      <c r="T3" s="1"/>
      <c r="U3" s="1"/>
      <c r="V3" s="1"/>
      <c r="W3" s="1"/>
      <c r="X3" s="1"/>
    </row>
    <row r="4" spans="1:24" x14ac:dyDescent="0.35">
      <c r="A4" s="1"/>
      <c r="B4" s="2" t="s">
        <v>4</v>
      </c>
      <c r="C4" s="2">
        <v>0.01</v>
      </c>
      <c r="D4" s="1"/>
      <c r="E4" s="1"/>
      <c r="F4" s="2" t="s">
        <v>5</v>
      </c>
      <c r="G4" s="3">
        <f>(PI()*(2*G3)^2)/4</f>
        <v>2.0106192982974676E-2</v>
      </c>
      <c r="H4" s="3">
        <f t="shared" ref="H4:Q4" si="0">(PI()*(2*H3)^2)/4</f>
        <v>1.8145839167134643E-2</v>
      </c>
      <c r="I4" s="3">
        <f t="shared" si="0"/>
        <v>1.6286016316209486E-2</v>
      </c>
      <c r="J4" s="3">
        <f t="shared" si="0"/>
        <v>1.4526724430199206E-2</v>
      </c>
      <c r="K4" s="3">
        <f t="shared" si="0"/>
        <v>1.2867963509103792E-2</v>
      </c>
      <c r="L4" s="3">
        <f t="shared" si="0"/>
        <v>1.1309733552923255E-2</v>
      </c>
      <c r="M4" s="3">
        <f t="shared" si="0"/>
        <v>9.8520345616575928E-3</v>
      </c>
      <c r="N4" s="3">
        <f t="shared" si="0"/>
        <v>8.4948665353067991E-3</v>
      </c>
      <c r="O4" s="3">
        <f t="shared" si="0"/>
        <v>7.2382294738708832E-3</v>
      </c>
      <c r="P4" s="3">
        <f t="shared" si="0"/>
        <v>6.0821233773498389E-3</v>
      </c>
      <c r="Q4" s="3">
        <f t="shared" si="0"/>
        <v>5.0265482457436689E-3</v>
      </c>
      <c r="R4" s="1"/>
      <c r="S4" s="1"/>
      <c r="T4" s="1"/>
      <c r="U4" s="1"/>
      <c r="V4" s="1"/>
      <c r="W4" s="1"/>
      <c r="X4" s="1"/>
    </row>
    <row r="5" spans="1:24" x14ac:dyDescent="0.35">
      <c r="A5" s="1"/>
      <c r="B5" s="1"/>
      <c r="C5" s="1"/>
      <c r="D5" s="1"/>
      <c r="E5" s="1"/>
      <c r="F5" s="2" t="s">
        <v>6</v>
      </c>
      <c r="G5" s="3">
        <v>106.2065005624962</v>
      </c>
      <c r="H5" s="3">
        <v>117.6803327096016</v>
      </c>
      <c r="I5" s="3">
        <v>131.11911624691996</v>
      </c>
      <c r="J5" s="3">
        <v>146.99857533568806</v>
      </c>
      <c r="K5" s="3">
        <v>165.94759393368457</v>
      </c>
      <c r="L5" s="3">
        <v>188.8114712744632</v>
      </c>
      <c r="M5" s="3">
        <v>216.74785303996583</v>
      </c>
      <c r="N5" s="3">
        <v>251.37620333892744</v>
      </c>
      <c r="O5" s="3">
        <v>295.01790459969169</v>
      </c>
      <c r="P5" s="3">
        <v>351.09569025097989</v>
      </c>
      <c r="Q5" s="3">
        <v>424.8257876463183</v>
      </c>
      <c r="R5" s="1"/>
      <c r="S5" s="1"/>
      <c r="T5" s="1"/>
      <c r="U5" s="1"/>
      <c r="V5" s="1"/>
      <c r="W5" s="1"/>
      <c r="X5" s="1"/>
    </row>
    <row r="6" spans="1:24" x14ac:dyDescent="0.35">
      <c r="A6" s="1"/>
      <c r="B6" s="4" t="s">
        <v>7</v>
      </c>
      <c r="C6" s="4">
        <v>1.4</v>
      </c>
      <c r="D6" s="1"/>
      <c r="E6" s="1"/>
      <c r="F6" s="2" t="s">
        <v>8</v>
      </c>
      <c r="G6" s="2">
        <v>209816.70619867407</v>
      </c>
      <c r="H6" s="2">
        <v>208216.66669290102</v>
      </c>
      <c r="I6" s="2">
        <v>206128.60029518459</v>
      </c>
      <c r="J6" s="2">
        <v>203362.50480581902</v>
      </c>
      <c r="K6" s="2">
        <v>199636.22018117688</v>
      </c>
      <c r="L6" s="2">
        <v>194520.61988493794</v>
      </c>
      <c r="M6" s="2">
        <v>187345.26625964639</v>
      </c>
      <c r="N6" s="2">
        <v>177030.14555812199</v>
      </c>
      <c r="O6" s="2">
        <v>161773.17190759812</v>
      </c>
      <c r="P6" s="2">
        <v>138442.09931834877</v>
      </c>
      <c r="Q6" s="2">
        <v>101325</v>
      </c>
      <c r="R6" s="1"/>
      <c r="S6" s="1"/>
      <c r="T6" s="1"/>
      <c r="U6" s="1"/>
      <c r="V6" s="1"/>
      <c r="W6" s="1"/>
      <c r="X6" s="1"/>
    </row>
    <row r="7" spans="1:24" x14ac:dyDescent="0.35">
      <c r="A7" s="1"/>
      <c r="B7" s="4" t="s">
        <v>3</v>
      </c>
      <c r="C7" s="4">
        <v>286.97199999999998</v>
      </c>
      <c r="D7" s="1"/>
      <c r="E7" s="1"/>
      <c r="F7" s="2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1"/>
      <c r="S7" s="1"/>
      <c r="T7" s="1"/>
      <c r="U7" s="1"/>
      <c r="V7" s="1"/>
      <c r="W7" s="1"/>
      <c r="X7" s="1"/>
    </row>
    <row r="8" spans="1:24" x14ac:dyDescent="0.35">
      <c r="A8" s="1"/>
      <c r="B8" s="4" t="s">
        <v>10</v>
      </c>
      <c r="C8" s="4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5">
      <c r="A10" s="1"/>
      <c r="B10" s="5" t="s">
        <v>11</v>
      </c>
      <c r="C10" s="5">
        <v>216500</v>
      </c>
      <c r="D10" s="1"/>
      <c r="E10" s="1"/>
      <c r="F10" s="6" t="s">
        <v>12</v>
      </c>
      <c r="G10" s="6">
        <f>G4*G7*G13</f>
        <v>2.5304589427227397</v>
      </c>
      <c r="H10" s="6">
        <f>H4*H7*H13</f>
        <v>2.5304589357924265</v>
      </c>
      <c r="I10" s="6">
        <f t="shared" ref="I10:Q10" si="1">I4*I7*I13</f>
        <v>2.5304585535385713</v>
      </c>
      <c r="J10" s="6">
        <f t="shared" si="1"/>
        <v>2.5304582338299362</v>
      </c>
      <c r="K10" s="6">
        <f t="shared" si="1"/>
        <v>2.5304579834421137</v>
      </c>
      <c r="L10" s="6">
        <f t="shared" si="1"/>
        <v>2.5304578051644318</v>
      </c>
      <c r="M10" s="6">
        <f t="shared" si="1"/>
        <v>2.5304576962603322</v>
      </c>
      <c r="N10" s="6">
        <f t="shared" si="1"/>
        <v>2.5304576471963278</v>
      </c>
      <c r="O10" s="6">
        <f t="shared" si="1"/>
        <v>2.5304576413444111</v>
      </c>
      <c r="P10" s="6">
        <f t="shared" si="1"/>
        <v>2.530457656758843</v>
      </c>
      <c r="Q10" s="6">
        <f t="shared" si="1"/>
        <v>2.5304576712841005</v>
      </c>
      <c r="R10" s="1"/>
      <c r="S10" s="1"/>
      <c r="T10" s="1"/>
      <c r="U10" s="1"/>
      <c r="V10" s="1"/>
      <c r="W10" s="1"/>
      <c r="X10" s="1"/>
    </row>
    <row r="11" spans="1:24" x14ac:dyDescent="0.35">
      <c r="A11" s="1"/>
      <c r="B11" s="5" t="s">
        <v>13</v>
      </c>
      <c r="C11" s="5">
        <v>288.16000000000003</v>
      </c>
      <c r="D11" s="1"/>
      <c r="E11" s="1"/>
      <c r="F11" s="6" t="s">
        <v>14</v>
      </c>
      <c r="G11" s="6">
        <v>0</v>
      </c>
      <c r="H11" s="6">
        <f>H13*(H10-I10)</f>
        <v>4.498376074045411E-5</v>
      </c>
      <c r="I11" s="6">
        <f t="shared" ref="I11:P11" si="2">I13*(I10-J10)</f>
        <v>4.1919913605165495E-5</v>
      </c>
      <c r="J11" s="6">
        <f t="shared" si="2"/>
        <v>3.6806653128948663E-5</v>
      </c>
      <c r="K11" s="6">
        <f t="shared" si="2"/>
        <v>2.9584752341274874E-5</v>
      </c>
      <c r="L11" s="6">
        <f t="shared" si="2"/>
        <v>2.0562343244645215E-5</v>
      </c>
      <c r="M11" s="6">
        <f t="shared" si="2"/>
        <v>1.0634517614982403E-5</v>
      </c>
      <c r="N11" s="6">
        <f t="shared" si="2"/>
        <v>1.4710326093748699E-6</v>
      </c>
      <c r="O11" s="6">
        <f t="shared" si="2"/>
        <v>-4.5475334151367821E-6</v>
      </c>
      <c r="P11" s="6">
        <f t="shared" si="2"/>
        <v>-5.0997552872263306E-6</v>
      </c>
      <c r="Q11" s="6">
        <v>0</v>
      </c>
      <c r="R11" s="1"/>
      <c r="S11" s="1"/>
      <c r="T11" s="1"/>
      <c r="U11" s="1"/>
      <c r="V11" s="1"/>
      <c r="W11" s="1"/>
      <c r="X11" s="1"/>
    </row>
    <row r="12" spans="1:24" x14ac:dyDescent="0.35">
      <c r="A12" s="1"/>
      <c r="B12" s="5" t="s">
        <v>8</v>
      </c>
      <c r="C12" s="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5">
      <c r="A13" s="1"/>
      <c r="B13" s="1"/>
      <c r="C13" s="1"/>
      <c r="D13" s="1"/>
      <c r="E13" s="1"/>
      <c r="F13" s="2" t="s">
        <v>6</v>
      </c>
      <c r="G13" s="2">
        <f>(H5*H4*H7)/(G4*G7)</f>
        <v>106.20650027041543</v>
      </c>
      <c r="H13" s="2">
        <f>((G6-H6)/H7+G5*H5)^0.5</f>
        <v>117.68033238730371</v>
      </c>
      <c r="I13" s="2">
        <f t="shared" ref="I13:Q13" si="3">((H6-I6)/I7+H5*I5)^0.5</f>
        <v>131.11911597021381</v>
      </c>
      <c r="J13" s="2">
        <f t="shared" si="3"/>
        <v>146.99857511045704</v>
      </c>
      <c r="K13" s="2">
        <f t="shared" si="3"/>
        <v>165.94759376284031</v>
      </c>
      <c r="L13" s="2">
        <f t="shared" si="3"/>
        <v>188.81147115676865</v>
      </c>
      <c r="M13" s="2">
        <f t="shared" si="3"/>
        <v>216.74785296906575</v>
      </c>
      <c r="N13" s="2">
        <f t="shared" si="3"/>
        <v>251.37620330311276</v>
      </c>
      <c r="O13" s="2">
        <f t="shared" si="3"/>
        <v>295.01790458320255</v>
      </c>
      <c r="P13" s="2">
        <f t="shared" si="3"/>
        <v>351.09569023773804</v>
      </c>
      <c r="Q13" s="2">
        <f t="shared" si="3"/>
        <v>424.8257876262353</v>
      </c>
      <c r="R13" s="1"/>
      <c r="S13" s="1"/>
      <c r="T13" s="1"/>
      <c r="U13" s="1"/>
      <c r="V13" s="1"/>
      <c r="W13" s="1"/>
      <c r="X13" s="1"/>
    </row>
    <row r="14" spans="1:24" x14ac:dyDescent="0.35">
      <c r="A14" s="1"/>
      <c r="B14" s="2" t="s">
        <v>15</v>
      </c>
      <c r="C14" s="2">
        <v>1000</v>
      </c>
      <c r="D14" s="1">
        <v>1000</v>
      </c>
      <c r="E14" s="1"/>
      <c r="F14" s="2" t="s">
        <v>8</v>
      </c>
      <c r="G14" s="2">
        <f>C10-(G7*G13^2)/2</f>
        <v>209816.70623543381</v>
      </c>
      <c r="H14" s="2">
        <f>H6+H11</f>
        <v>208216.66673788478</v>
      </c>
      <c r="I14" s="2">
        <f t="shared" ref="I14:Q14" si="4">I6+I11</f>
        <v>206128.60033710449</v>
      </c>
      <c r="J14" s="2">
        <f t="shared" si="4"/>
        <v>203362.50484262567</v>
      </c>
      <c r="K14" s="2">
        <f t="shared" si="4"/>
        <v>199636.22021076162</v>
      </c>
      <c r="L14" s="2">
        <f t="shared" si="4"/>
        <v>194520.61990550029</v>
      </c>
      <c r="M14" s="2">
        <f t="shared" si="4"/>
        <v>187345.2662702809</v>
      </c>
      <c r="N14" s="2">
        <f t="shared" si="4"/>
        <v>177030.14555959302</v>
      </c>
      <c r="O14" s="2">
        <f t="shared" si="4"/>
        <v>161773.17190305059</v>
      </c>
      <c r="P14" s="2">
        <f t="shared" si="4"/>
        <v>138442.09931324903</v>
      </c>
      <c r="Q14" s="2">
        <f t="shared" si="4"/>
        <v>101325</v>
      </c>
      <c r="R14" s="1"/>
      <c r="S14" s="1"/>
      <c r="T14" s="1"/>
      <c r="U14" s="1"/>
      <c r="V14" s="1"/>
      <c r="W14" s="1"/>
      <c r="X14" s="1"/>
    </row>
    <row r="15" spans="1:24" x14ac:dyDescent="0.35">
      <c r="A15" s="1"/>
      <c r="B15" s="1"/>
      <c r="C15" s="1"/>
      <c r="D15" s="1"/>
      <c r="E15" s="1"/>
      <c r="F15" s="2" t="s">
        <v>9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  <c r="S15" s="1"/>
      <c r="T15" s="1"/>
      <c r="U15" s="1"/>
      <c r="V15" s="1"/>
      <c r="W15" s="1"/>
      <c r="X15" s="1"/>
    </row>
    <row r="16" spans="1:24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5">
      <c r="A17" s="1"/>
      <c r="B17" s="1"/>
      <c r="C17" s="1"/>
      <c r="D17" s="1"/>
      <c r="E17" s="1"/>
      <c r="F17" s="2" t="s">
        <v>16</v>
      </c>
      <c r="G17" s="2">
        <f>$C$11-(G13^2)/(2*$C$8)</f>
        <v>282.54479654535561</v>
      </c>
      <c r="H17" s="2">
        <f t="shared" ref="H17:Q17" si="5">$C$11-(H13^2)/(2*$C$8)</f>
        <v>281.26600327021794</v>
      </c>
      <c r="I17" s="2">
        <f t="shared" si="5"/>
        <v>279.60154591158386</v>
      </c>
      <c r="J17" s="2">
        <f t="shared" si="5"/>
        <v>277.40304008138958</v>
      </c>
      <c r="K17" s="2">
        <f t="shared" si="5"/>
        <v>274.45101758478864</v>
      </c>
      <c r="L17" s="2">
        <f t="shared" si="5"/>
        <v>270.41320009937112</v>
      </c>
      <c r="M17" s="2">
        <f t="shared" si="5"/>
        <v>264.77308653589222</v>
      </c>
      <c r="N17" s="2">
        <f t="shared" si="5"/>
        <v>256.70341119718847</v>
      </c>
      <c r="O17" s="2">
        <f t="shared" si="5"/>
        <v>244.83285741504204</v>
      </c>
      <c r="P17" s="2">
        <f t="shared" si="5"/>
        <v>226.79591014361128</v>
      </c>
      <c r="Q17" s="2">
        <f t="shared" si="5"/>
        <v>198.31683500983118</v>
      </c>
      <c r="R17" s="1"/>
      <c r="S17" s="1"/>
      <c r="T17" s="1"/>
      <c r="U17" s="1"/>
      <c r="V17" s="1"/>
      <c r="W17" s="1"/>
      <c r="X17" s="1"/>
    </row>
    <row r="18" spans="1:24" x14ac:dyDescent="0.35">
      <c r="A18" s="1"/>
      <c r="B18" s="1"/>
      <c r="C18" s="1"/>
      <c r="D18" s="1"/>
      <c r="E18" s="1"/>
      <c r="F18" s="2" t="s">
        <v>17</v>
      </c>
      <c r="G18" s="2">
        <f>SQRT($C$7*$C$6*G17)</f>
        <v>336.92050026066875</v>
      </c>
      <c r="H18" s="2">
        <f t="shared" ref="H18:Q18" si="6">SQRT($C$7*$C$6*H17)</f>
        <v>336.15718717089089</v>
      </c>
      <c r="I18" s="2">
        <f t="shared" si="6"/>
        <v>335.16106690168334</v>
      </c>
      <c r="J18" s="2">
        <f t="shared" si="6"/>
        <v>333.84078136969896</v>
      </c>
      <c r="K18" s="2">
        <f t="shared" si="6"/>
        <v>332.05972412455975</v>
      </c>
      <c r="L18" s="2">
        <f t="shared" si="6"/>
        <v>329.60798473714715</v>
      </c>
      <c r="M18" s="2">
        <f t="shared" si="6"/>
        <v>326.15249050885581</v>
      </c>
      <c r="N18" s="2">
        <f t="shared" si="6"/>
        <v>321.14384291982213</v>
      </c>
      <c r="O18" s="2">
        <f t="shared" si="6"/>
        <v>313.63074572074913</v>
      </c>
      <c r="P18" s="2">
        <f t="shared" si="6"/>
        <v>301.85709581857668</v>
      </c>
      <c r="Q18" s="2">
        <f t="shared" si="6"/>
        <v>282.26925140195095</v>
      </c>
      <c r="R18" s="1"/>
      <c r="S18" s="1"/>
      <c r="T18" s="1"/>
      <c r="U18" s="1"/>
      <c r="V18" s="1"/>
      <c r="W18" s="1"/>
      <c r="X18" s="1"/>
    </row>
    <row r="19" spans="1:24" x14ac:dyDescent="0.35">
      <c r="A19" s="1"/>
      <c r="B19" s="1"/>
      <c r="C19" s="1"/>
      <c r="D19" s="1"/>
      <c r="E19" s="1"/>
      <c r="F19" s="2" t="s">
        <v>18</v>
      </c>
      <c r="G19" s="2">
        <f>G13/G18</f>
        <v>0.31522718323238141</v>
      </c>
      <c r="H19" s="2">
        <f t="shared" ref="H19:Q19" si="7">H13/H18</f>
        <v>0.35007531261700803</v>
      </c>
      <c r="I19" s="2">
        <f t="shared" si="7"/>
        <v>0.39121225261129894</v>
      </c>
      <c r="J19" s="2">
        <f t="shared" si="7"/>
        <v>0.44032539855479547</v>
      </c>
      <c r="K19" s="2">
        <f t="shared" si="7"/>
        <v>0.49975224848585159</v>
      </c>
      <c r="L19" s="2">
        <f t="shared" si="7"/>
        <v>0.57283645997635746</v>
      </c>
      <c r="M19" s="2">
        <f t="shared" si="7"/>
        <v>0.66455985858302236</v>
      </c>
      <c r="N19" s="2">
        <f t="shared" si="7"/>
        <v>0.78275267872992416</v>
      </c>
      <c r="O19" s="2">
        <f t="shared" si="7"/>
        <v>0.9406536463930768</v>
      </c>
      <c r="P19" s="2">
        <f t="shared" si="7"/>
        <v>1.1631188900351541</v>
      </c>
      <c r="Q19" s="2">
        <f t="shared" si="7"/>
        <v>1.505037426202984</v>
      </c>
      <c r="R19" s="1"/>
      <c r="S19" s="1"/>
      <c r="T19" s="1"/>
      <c r="U19" s="1"/>
      <c r="V19" s="1"/>
      <c r="W19" s="1"/>
      <c r="X19" s="1"/>
    </row>
    <row r="20" spans="1:24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2" t="s">
        <v>20</v>
      </c>
      <c r="S23" s="22"/>
      <c r="T23" s="23"/>
      <c r="U23" s="23"/>
      <c r="V23" s="23"/>
      <c r="W23" s="23"/>
      <c r="X23" s="23"/>
    </row>
    <row r="24" spans="1:24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" t="s">
        <v>1</v>
      </c>
      <c r="S24" s="9">
        <v>0</v>
      </c>
      <c r="T24" s="9">
        <v>2.5000000000000001E-2</v>
      </c>
      <c r="U24" s="9">
        <v>0.05</v>
      </c>
      <c r="V24" s="9">
        <v>7.4999999999999997E-2</v>
      </c>
      <c r="W24" s="3">
        <v>8.5000000000000006E-2</v>
      </c>
      <c r="X24" s="9">
        <v>0.1</v>
      </c>
    </row>
    <row r="25" spans="1:24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2" t="s">
        <v>8</v>
      </c>
      <c r="S25" s="14">
        <v>207771</v>
      </c>
      <c r="T25" s="14">
        <v>203257</v>
      </c>
      <c r="U25" s="14">
        <v>192492</v>
      </c>
      <c r="V25" s="14">
        <v>168165</v>
      </c>
      <c r="W25" s="2">
        <v>148689.5</v>
      </c>
      <c r="X25" s="2">
        <v>101325</v>
      </c>
    </row>
    <row r="26" spans="1:24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2" t="s">
        <v>6</v>
      </c>
      <c r="S26" s="14">
        <v>118.4877</v>
      </c>
      <c r="T26" s="14">
        <v>148.65209999999999</v>
      </c>
      <c r="U26" s="14">
        <v>200.7876</v>
      </c>
      <c r="V26" s="14">
        <v>285.13</v>
      </c>
      <c r="W26" s="2">
        <v>338.23829999999998</v>
      </c>
      <c r="X26" s="14">
        <v>440.15249999999997</v>
      </c>
    </row>
    <row r="27" spans="1:24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</sheetData>
  <mergeCells count="1">
    <mergeCell ref="S23:X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inniatulin">
                <anchor moveWithCells="1">
                  <from>
                    <xdr:col>1</xdr:col>
                    <xdr:colOff>69850</xdr:colOff>
                    <xdr:row>15</xdr:row>
                    <xdr:rowOff>88900</xdr:rowOff>
                  </from>
                  <to>
                    <xdr:col>2</xdr:col>
                    <xdr:colOff>622300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 const</vt:lpstr>
      <vt:lpstr>ro var</vt:lpstr>
      <vt:lpstr>ro const, M=1,5</vt:lpstr>
      <vt:lpstr>ro var M=1,5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2021-05-23T10:37:20Z</dcterms:modified>
</cp:coreProperties>
</file>